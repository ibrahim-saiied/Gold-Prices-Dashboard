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ivePrices" sheetId="2" r:id="rId5"/>
  </sheets>
  <definedNames/>
  <calcPr/>
</workbook>
</file>

<file path=xl/sharedStrings.xml><?xml version="1.0" encoding="utf-8"?>
<sst xmlns="http://schemas.openxmlformats.org/spreadsheetml/2006/main" count="21" uniqueCount="20">
  <si>
    <t>Data</t>
  </si>
  <si>
    <t>Gold Buy Price
(24 Karat)</t>
  </si>
  <si>
    <t>Gold Sale Price
(24 Karat)</t>
  </si>
  <si>
    <t>Gold Buy Price
(22 Karat)</t>
  </si>
  <si>
    <t>Gold Sale Price
(22 Karat)</t>
  </si>
  <si>
    <t>Gold Buy Price
(21 Karat)</t>
  </si>
  <si>
    <t>Gold Sale Price
(21 Karat)</t>
  </si>
  <si>
    <t>Gold Buy Price
(18 Karat)</t>
  </si>
  <si>
    <t>Gold Sale Price
(18 Karat)</t>
  </si>
  <si>
    <t>Gold Buy Price
(14 Karat)</t>
  </si>
  <si>
    <t>Gold Sale Price
(14 Karat)</t>
  </si>
  <si>
    <t>Gold Buy Price
(Golden Pound)</t>
  </si>
  <si>
    <t>Gold Sale Price
(Golden Pound)</t>
  </si>
  <si>
    <t>Gold Buy Price
(Ounce)</t>
  </si>
  <si>
    <t>Gold Sale Price
(Ounce)</t>
  </si>
  <si>
    <t>Gold Price (24 Karat)</t>
  </si>
  <si>
    <t>Gold Price (22 Karat)</t>
  </si>
  <si>
    <t>Gold Price (18 Karat)</t>
  </si>
  <si>
    <t>Gold Price (14 Karat)</t>
  </si>
  <si>
    <t>Gold Price (10 Karat)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</si>
</sst>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1" xfId="0" applyAlignment="1" applyFont="1" applyNumberFormat="1">
      <alignment horizontal="center" readingOrder="0" shrinkToFit="0" vertical="bottom" wrapText="0"/>
    </xf>
    <xf borderId="0" fillId="0" fontId="3" numFmtId="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14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369" displayName="Gold_Data" name="Gold_Data" id="1">
  <tableColumns count="15">
    <tableColumn name="Data" id="1"/>
    <tableColumn name="Gold Buy Price_x000a_(24 Karat)" id="2"/>
    <tableColumn name="Gold Sale Price_x000a_(24 Karat)" id="3"/>
    <tableColumn name="Gold Buy Price_x000a_(22 Karat)" id="4"/>
    <tableColumn name="Gold Sale Price_x000a_(22 Karat)" id="5"/>
    <tableColumn name="Gold Buy Price_x000a_(21 Karat)" id="6"/>
    <tableColumn name="Gold Sale Price_x000a_(21 Karat)" id="7"/>
    <tableColumn name="Gold Buy Price_x000a_(18 Karat)" id="8"/>
    <tableColumn name="Gold Sale Price_x000a_(18 Karat)" id="9"/>
    <tableColumn name="Gold Buy Price_x000a_(14 Karat)" id="10"/>
    <tableColumn name="Gold Sale Price_x000a_(14 Karat)" id="11"/>
    <tableColumn name="Gold Buy Price_x000a_(Golden Pound)" id="12"/>
    <tableColumn name="Gold Sale Price_x000a_(Golden Pound)" id="13"/>
    <tableColumn name="Gold Buy Price_x000a_(Ounce)" id="14"/>
    <tableColumn name="Gold Sale Price_x000a_(Ounce)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9.75"/>
    <col customWidth="1" min="3" max="3" width="16.88"/>
    <col customWidth="1" min="4" max="4" width="19.75"/>
    <col customWidth="1" min="5" max="5" width="16.88"/>
    <col customWidth="1" min="6" max="6" width="19.75"/>
    <col customWidth="1" min="7" max="7" width="16.88"/>
    <col customWidth="1" min="8" max="8" width="19.75"/>
    <col customWidth="1" min="9" max="9" width="16.88"/>
    <col customWidth="1" min="10" max="10" width="19.75"/>
    <col customWidth="1" min="11" max="11" width="16.88"/>
    <col customWidth="1" min="12" max="12" width="20.63"/>
    <col customWidth="1" min="13" max="13" width="17.38"/>
    <col customWidth="1" min="14" max="14" width="20.63"/>
    <col customWidth="1" min="15" max="15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2.5" customHeight="1">
      <c r="A2" s="3">
        <v>45658.0</v>
      </c>
      <c r="B2" s="4">
        <v>4287.0</v>
      </c>
      <c r="C2" s="4"/>
      <c r="D2" s="4">
        <v>3930.0</v>
      </c>
      <c r="E2" s="4"/>
      <c r="F2" s="4">
        <v>3751.3636363636365</v>
      </c>
      <c r="G2" s="4"/>
      <c r="H2" s="4">
        <v>3216.0</v>
      </c>
      <c r="I2" s="4"/>
      <c r="J2" s="4">
        <v>2501.0</v>
      </c>
      <c r="K2" s="5"/>
      <c r="L2" s="5">
        <v>30010.909090909092</v>
      </c>
      <c r="M2" s="6"/>
      <c r="N2" s="5">
        <v>133340.7045</v>
      </c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22.5" customHeight="1">
      <c r="A3" s="3">
        <v>45659.0</v>
      </c>
      <c r="B3" s="4">
        <v>4340.0</v>
      </c>
      <c r="C3" s="4"/>
      <c r="D3" s="4">
        <v>3979.0</v>
      </c>
      <c r="E3" s="4"/>
      <c r="F3" s="4">
        <v>3798.136363636364</v>
      </c>
      <c r="G3" s="4"/>
      <c r="H3" s="4">
        <v>3255.0</v>
      </c>
      <c r="I3" s="4"/>
      <c r="J3" s="4">
        <v>2532.0</v>
      </c>
      <c r="K3" s="5"/>
      <c r="L3" s="5">
        <v>30385.09090909091</v>
      </c>
      <c r="M3" s="6"/>
      <c r="N3" s="5">
        <v>134989.19</v>
      </c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22.5" customHeight="1">
      <c r="A4" s="3">
        <v>45660.0</v>
      </c>
      <c r="B4" s="4">
        <v>4308.0</v>
      </c>
      <c r="C4" s="4"/>
      <c r="D4" s="4">
        <v>3949.0</v>
      </c>
      <c r="E4" s="4"/>
      <c r="F4" s="4">
        <v>3769.5</v>
      </c>
      <c r="G4" s="4"/>
      <c r="H4" s="4">
        <v>3231.0</v>
      </c>
      <c r="I4" s="4"/>
      <c r="J4" s="4">
        <v>2513.0</v>
      </c>
      <c r="K4" s="5"/>
      <c r="L4" s="5">
        <v>30156.0</v>
      </c>
      <c r="M4" s="6"/>
      <c r="N4" s="5">
        <v>133993.878</v>
      </c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22.5" customHeight="1">
      <c r="A5" s="3">
        <v>45661.0</v>
      </c>
      <c r="B5" s="4">
        <v>4308.0</v>
      </c>
      <c r="C5" s="4"/>
      <c r="D5" s="4">
        <v>3949.0</v>
      </c>
      <c r="E5" s="4"/>
      <c r="F5" s="4">
        <v>3769.5</v>
      </c>
      <c r="G5" s="4"/>
      <c r="H5" s="4">
        <v>3231.0</v>
      </c>
      <c r="I5" s="4"/>
      <c r="J5" s="4">
        <v>2513.0</v>
      </c>
      <c r="K5" s="5"/>
      <c r="L5" s="5">
        <v>30156.0</v>
      </c>
      <c r="M5" s="6"/>
      <c r="N5" s="5">
        <v>133993.878</v>
      </c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22.5" customHeight="1">
      <c r="A6" s="3">
        <v>45662.0</v>
      </c>
      <c r="B6" s="4">
        <v>4291.0</v>
      </c>
      <c r="C6" s="4"/>
      <c r="D6" s="4">
        <v>3934.0</v>
      </c>
      <c r="E6" s="4"/>
      <c r="F6" s="4">
        <v>3755.1818181818185</v>
      </c>
      <c r="G6" s="4"/>
      <c r="H6" s="4">
        <v>3218.0</v>
      </c>
      <c r="I6" s="4"/>
      <c r="J6" s="4">
        <v>2503.0</v>
      </c>
      <c r="K6" s="5"/>
      <c r="L6" s="5">
        <v>30041.454545454548</v>
      </c>
      <c r="M6" s="6"/>
      <c r="N6" s="5">
        <v>133465.1185</v>
      </c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22.5" customHeight="1">
      <c r="A7" s="3">
        <v>45663.0</v>
      </c>
      <c r="B7" s="4">
        <v>4291.0</v>
      </c>
      <c r="C7" s="4"/>
      <c r="D7" s="4">
        <v>3934.0</v>
      </c>
      <c r="E7" s="4"/>
      <c r="F7" s="4">
        <v>3755.1818181818185</v>
      </c>
      <c r="G7" s="4"/>
      <c r="H7" s="4">
        <v>3218.0</v>
      </c>
      <c r="I7" s="4"/>
      <c r="J7" s="4">
        <v>2503.0</v>
      </c>
      <c r="K7" s="5"/>
      <c r="L7" s="5">
        <v>30041.454545454548</v>
      </c>
      <c r="M7" s="6"/>
      <c r="N7" s="5">
        <v>133465.1185</v>
      </c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22.5" customHeight="1">
      <c r="A8" s="3">
        <v>45664.0</v>
      </c>
      <c r="B8" s="4">
        <v>4314.0</v>
      </c>
      <c r="C8" s="4"/>
      <c r="D8" s="4">
        <v>3954.0</v>
      </c>
      <c r="E8" s="4"/>
      <c r="F8" s="4">
        <v>3774.2727272727275</v>
      </c>
      <c r="G8" s="4"/>
      <c r="H8" s="4">
        <v>3235.0</v>
      </c>
      <c r="I8" s="4"/>
      <c r="J8" s="4">
        <v>2516.0</v>
      </c>
      <c r="K8" s="5"/>
      <c r="L8" s="5">
        <v>30194.18181818182</v>
      </c>
      <c r="M8" s="6"/>
      <c r="N8" s="5">
        <v>134180.499</v>
      </c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22.5" customHeight="1">
      <c r="A9" s="3">
        <v>45665.0</v>
      </c>
      <c r="B9" s="4">
        <v>4331.0</v>
      </c>
      <c r="C9" s="4"/>
      <c r="D9" s="4">
        <v>3970.0</v>
      </c>
      <c r="E9" s="4"/>
      <c r="F9" s="4">
        <v>3789.5454545454545</v>
      </c>
      <c r="G9" s="4"/>
      <c r="H9" s="4">
        <v>3248.0</v>
      </c>
      <c r="I9" s="4"/>
      <c r="J9" s="4">
        <v>2527.0</v>
      </c>
      <c r="K9" s="5"/>
      <c r="L9" s="5">
        <v>30316.363636363636</v>
      </c>
      <c r="M9" s="6"/>
      <c r="N9" s="5">
        <v>134709.2585</v>
      </c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22.5" customHeight="1">
      <c r="A10" s="3">
        <v>45666.0</v>
      </c>
      <c r="B10" s="4">
        <v>4342.0</v>
      </c>
      <c r="C10" s="4"/>
      <c r="D10" s="4">
        <v>3980.0</v>
      </c>
      <c r="E10" s="4"/>
      <c r="F10" s="4">
        <v>3799.0909090909095</v>
      </c>
      <c r="G10" s="4"/>
      <c r="H10" s="4">
        <v>3256.0</v>
      </c>
      <c r="I10" s="4"/>
      <c r="J10" s="4">
        <v>2533.0</v>
      </c>
      <c r="K10" s="5"/>
      <c r="L10" s="5">
        <v>30392.727272727276</v>
      </c>
      <c r="M10" s="6"/>
      <c r="N10" s="5">
        <v>135051.397</v>
      </c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22.5" customHeight="1">
      <c r="A11" s="3">
        <v>45667.0</v>
      </c>
      <c r="B11" s="4">
        <v>4369.0</v>
      </c>
      <c r="C11" s="4"/>
      <c r="D11" s="4">
        <v>4005.0</v>
      </c>
      <c r="E11" s="4"/>
      <c r="F11" s="4">
        <v>3822.9545454545455</v>
      </c>
      <c r="G11" s="4"/>
      <c r="H11" s="4">
        <v>3277.0</v>
      </c>
      <c r="I11" s="4"/>
      <c r="J11" s="4">
        <v>2549.0</v>
      </c>
      <c r="K11" s="5"/>
      <c r="L11" s="5">
        <v>30583.636363636364</v>
      </c>
      <c r="M11" s="6"/>
      <c r="N11" s="5">
        <v>135891.19150000002</v>
      </c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22.5" customHeight="1">
      <c r="A12" s="3">
        <v>45668.0</v>
      </c>
      <c r="B12" s="4">
        <v>4369.0</v>
      </c>
      <c r="C12" s="4"/>
      <c r="D12" s="4">
        <v>4005.0</v>
      </c>
      <c r="E12" s="4"/>
      <c r="F12" s="4">
        <v>3822.9545454545455</v>
      </c>
      <c r="G12" s="4"/>
      <c r="H12" s="4">
        <v>3277.0</v>
      </c>
      <c r="I12" s="4"/>
      <c r="J12" s="4">
        <v>2549.0</v>
      </c>
      <c r="K12" s="5"/>
      <c r="L12" s="5">
        <v>30583.636363636364</v>
      </c>
      <c r="M12" s="6"/>
      <c r="N12" s="5">
        <v>135891.19150000002</v>
      </c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22.5" customHeight="1">
      <c r="A13" s="3">
        <v>45669.0</v>
      </c>
      <c r="B13" s="4">
        <v>4329.0</v>
      </c>
      <c r="C13" s="4"/>
      <c r="D13" s="4">
        <v>3968.0</v>
      </c>
      <c r="E13" s="4"/>
      <c r="F13" s="4">
        <v>3787.636363636364</v>
      </c>
      <c r="G13" s="4"/>
      <c r="H13" s="4">
        <v>3247.0</v>
      </c>
      <c r="I13" s="4"/>
      <c r="J13" s="4">
        <v>2525.0</v>
      </c>
      <c r="K13" s="5"/>
      <c r="L13" s="5">
        <v>30301.09090909091</v>
      </c>
      <c r="M13" s="6"/>
      <c r="N13" s="5">
        <v>134647.0515</v>
      </c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22.5" customHeight="1">
      <c r="A14" s="3">
        <v>45670.0</v>
      </c>
      <c r="B14" s="4">
        <v>4329.0</v>
      </c>
      <c r="C14" s="4"/>
      <c r="D14" s="4">
        <v>3968.0</v>
      </c>
      <c r="E14" s="4"/>
      <c r="F14" s="4">
        <v>3787.636363636364</v>
      </c>
      <c r="G14" s="4"/>
      <c r="H14" s="4">
        <v>3247.0</v>
      </c>
      <c r="I14" s="4"/>
      <c r="J14" s="4">
        <v>2525.0</v>
      </c>
      <c r="K14" s="5"/>
      <c r="L14" s="5">
        <v>30301.09090909091</v>
      </c>
      <c r="M14" s="6"/>
      <c r="N14" s="5">
        <v>134647.0515</v>
      </c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22.5" customHeight="1">
      <c r="A15" s="3">
        <v>45671.0</v>
      </c>
      <c r="B15" s="4">
        <v>4338.0</v>
      </c>
      <c r="C15" s="4"/>
      <c r="D15" s="4">
        <v>3977.0</v>
      </c>
      <c r="E15" s="4"/>
      <c r="F15" s="4">
        <v>3796.227272727273</v>
      </c>
      <c r="G15" s="4"/>
      <c r="H15" s="4">
        <v>3254.0</v>
      </c>
      <c r="I15" s="4"/>
      <c r="J15" s="4">
        <v>2531.0</v>
      </c>
      <c r="K15" s="5"/>
      <c r="L15" s="5">
        <v>30369.818181818184</v>
      </c>
      <c r="M15" s="6"/>
      <c r="N15" s="5">
        <v>134926.983</v>
      </c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22.5" customHeight="1">
      <c r="A16" s="3">
        <v>45672.0</v>
      </c>
      <c r="B16" s="4">
        <v>4371.0</v>
      </c>
      <c r="C16" s="4"/>
      <c r="D16" s="4">
        <v>4007.0</v>
      </c>
      <c r="E16" s="4"/>
      <c r="F16" s="4">
        <v>3824.8636363636365</v>
      </c>
      <c r="G16" s="4"/>
      <c r="H16" s="4">
        <v>3278.0</v>
      </c>
      <c r="I16" s="4"/>
      <c r="J16" s="4">
        <v>2550.0</v>
      </c>
      <c r="K16" s="5"/>
      <c r="L16" s="5">
        <v>30598.909090909092</v>
      </c>
      <c r="M16" s="6"/>
      <c r="N16" s="5">
        <v>135953.3985</v>
      </c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22.5" customHeight="1">
      <c r="A17" s="3">
        <v>45673.0</v>
      </c>
      <c r="B17" s="4">
        <v>4397.0</v>
      </c>
      <c r="C17" s="4"/>
      <c r="D17" s="4">
        <v>4030.0</v>
      </c>
      <c r="E17" s="4"/>
      <c r="F17" s="4">
        <v>3846.818181818182</v>
      </c>
      <c r="G17" s="4"/>
      <c r="H17" s="4">
        <v>3297.0</v>
      </c>
      <c r="I17" s="4"/>
      <c r="J17" s="4">
        <v>2565.0</v>
      </c>
      <c r="K17" s="5"/>
      <c r="L17" s="5">
        <v>30774.545454545456</v>
      </c>
      <c r="M17" s="6"/>
      <c r="N17" s="5">
        <v>136762.0895</v>
      </c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22.5" customHeight="1">
      <c r="A18" s="3">
        <v>45674.0</v>
      </c>
      <c r="B18" s="4">
        <v>4379.0</v>
      </c>
      <c r="C18" s="4"/>
      <c r="D18" s="4">
        <v>4014.0</v>
      </c>
      <c r="E18" s="4"/>
      <c r="F18" s="4">
        <v>3831.5454545454545</v>
      </c>
      <c r="G18" s="4"/>
      <c r="H18" s="4">
        <v>3284.0</v>
      </c>
      <c r="I18" s="4"/>
      <c r="J18" s="4">
        <v>2554.0</v>
      </c>
      <c r="K18" s="5"/>
      <c r="L18" s="5">
        <v>30652.363636363636</v>
      </c>
      <c r="M18" s="6"/>
      <c r="N18" s="5">
        <v>136202.2265</v>
      </c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22.5" customHeight="1">
      <c r="A19" s="3">
        <v>45675.0</v>
      </c>
      <c r="B19" s="4">
        <v>4379.0</v>
      </c>
      <c r="C19" s="4"/>
      <c r="D19" s="4">
        <v>4014.0</v>
      </c>
      <c r="E19" s="4"/>
      <c r="F19" s="4">
        <v>3831.5454545454545</v>
      </c>
      <c r="G19" s="4"/>
      <c r="H19" s="4">
        <v>3284.0</v>
      </c>
      <c r="I19" s="4"/>
      <c r="J19" s="4">
        <v>2554.0</v>
      </c>
      <c r="K19" s="5"/>
      <c r="L19" s="5">
        <v>30652.363636363636</v>
      </c>
      <c r="M19" s="6"/>
      <c r="N19" s="5">
        <v>136202.2265</v>
      </c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22.5" customHeight="1">
      <c r="A20" s="3">
        <v>45676.0</v>
      </c>
      <c r="B20" s="4">
        <v>4383.0</v>
      </c>
      <c r="C20" s="4"/>
      <c r="D20" s="4">
        <v>4017.0</v>
      </c>
      <c r="E20" s="4"/>
      <c r="F20" s="4">
        <v>3834.409090909091</v>
      </c>
      <c r="G20" s="4"/>
      <c r="H20" s="4">
        <v>3287.0</v>
      </c>
      <c r="I20" s="4"/>
      <c r="J20" s="4">
        <v>2557.0</v>
      </c>
      <c r="K20" s="5"/>
      <c r="L20" s="5">
        <v>30675.272727272728</v>
      </c>
      <c r="M20" s="6"/>
      <c r="N20" s="5">
        <v>136326.6405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22.5" customHeight="1">
      <c r="A21" s="3">
        <v>45677.0</v>
      </c>
      <c r="B21" s="4">
        <v>4383.0</v>
      </c>
      <c r="C21" s="4"/>
      <c r="D21" s="4">
        <v>4017.0</v>
      </c>
      <c r="E21" s="4"/>
      <c r="F21" s="4">
        <v>3834.409090909091</v>
      </c>
      <c r="G21" s="4"/>
      <c r="H21" s="4">
        <v>3287.0</v>
      </c>
      <c r="I21" s="4"/>
      <c r="J21" s="4">
        <v>2557.0</v>
      </c>
      <c r="K21" s="5"/>
      <c r="L21" s="5">
        <v>30675.272727272728</v>
      </c>
      <c r="M21" s="6"/>
      <c r="N21" s="5">
        <v>136326.6405</v>
      </c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22.5" customHeight="1">
      <c r="A22" s="3">
        <v>45678.0</v>
      </c>
      <c r="B22" s="4">
        <v>4435.0</v>
      </c>
      <c r="C22" s="4"/>
      <c r="D22" s="4">
        <v>4066.0</v>
      </c>
      <c r="E22" s="4"/>
      <c r="F22" s="4">
        <v>3881.1818181818185</v>
      </c>
      <c r="G22" s="4"/>
      <c r="H22" s="4">
        <v>3327.0</v>
      </c>
      <c r="I22" s="4"/>
      <c r="J22" s="4">
        <v>2587.0</v>
      </c>
      <c r="K22" s="5"/>
      <c r="L22" s="5">
        <v>31049.454545454548</v>
      </c>
      <c r="M22" s="6"/>
      <c r="N22" s="5">
        <v>137944.0225</v>
      </c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22.5" customHeight="1">
      <c r="A23" s="3">
        <v>45679.0</v>
      </c>
      <c r="B23" s="4">
        <v>4457.0</v>
      </c>
      <c r="C23" s="4"/>
      <c r="D23" s="4">
        <v>4086.0</v>
      </c>
      <c r="E23" s="4"/>
      <c r="F23" s="4">
        <v>3900.2727272727275</v>
      </c>
      <c r="G23" s="4"/>
      <c r="H23" s="4">
        <v>3343.0</v>
      </c>
      <c r="I23" s="4"/>
      <c r="J23" s="4">
        <v>2600.0</v>
      </c>
      <c r="K23" s="5"/>
      <c r="L23" s="5">
        <v>31202.18181818182</v>
      </c>
      <c r="M23" s="6"/>
      <c r="N23" s="5">
        <v>138628.2995</v>
      </c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22.5" customHeight="1">
      <c r="A24" s="3">
        <v>45680.0</v>
      </c>
      <c r="B24" s="4">
        <v>4453.0</v>
      </c>
      <c r="C24" s="4"/>
      <c r="D24" s="4">
        <v>4082.0</v>
      </c>
      <c r="E24" s="4"/>
      <c r="F24" s="4">
        <v>3896.4545454545455</v>
      </c>
      <c r="G24" s="4"/>
      <c r="H24" s="4">
        <v>3339.0</v>
      </c>
      <c r="I24" s="4"/>
      <c r="J24" s="4">
        <v>2597.0</v>
      </c>
      <c r="K24" s="5"/>
      <c r="L24" s="5">
        <v>31171.636363636364</v>
      </c>
      <c r="M24" s="6"/>
      <c r="N24" s="5">
        <v>138503.8855</v>
      </c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22.5" customHeight="1">
      <c r="A25" s="3">
        <v>45681.0</v>
      </c>
      <c r="B25" s="4">
        <v>4479.0</v>
      </c>
      <c r="C25" s="4"/>
      <c r="D25" s="4">
        <v>4105.0</v>
      </c>
      <c r="E25" s="4"/>
      <c r="F25" s="4">
        <v>3918.409090909091</v>
      </c>
      <c r="G25" s="4"/>
      <c r="H25" s="4">
        <v>3359.0</v>
      </c>
      <c r="I25" s="4"/>
      <c r="J25" s="4">
        <v>2613.0</v>
      </c>
      <c r="K25" s="5"/>
      <c r="L25" s="5">
        <v>31347.272727272728</v>
      </c>
      <c r="M25" s="6"/>
      <c r="N25" s="5">
        <v>139312.5765</v>
      </c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22.5" customHeight="1">
      <c r="A26" s="3">
        <v>45682.0</v>
      </c>
      <c r="B26" s="4">
        <v>4479.0</v>
      </c>
      <c r="C26" s="4"/>
      <c r="D26" s="4">
        <v>4105.0</v>
      </c>
      <c r="E26" s="4"/>
      <c r="F26" s="4">
        <v>3918.409090909091</v>
      </c>
      <c r="G26" s="4"/>
      <c r="H26" s="4">
        <v>3359.0</v>
      </c>
      <c r="I26" s="4"/>
      <c r="J26" s="4">
        <v>2613.0</v>
      </c>
      <c r="K26" s="5"/>
      <c r="L26" s="5">
        <v>31347.272727272728</v>
      </c>
      <c r="M26" s="6"/>
      <c r="N26" s="5">
        <v>139312.5765</v>
      </c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22.5" customHeight="1">
      <c r="A27" s="3">
        <v>45683.0</v>
      </c>
      <c r="B27" s="4">
        <v>4429.0</v>
      </c>
      <c r="C27" s="4"/>
      <c r="D27" s="4">
        <v>4060.0</v>
      </c>
      <c r="E27" s="4"/>
      <c r="F27" s="4">
        <v>3875.4545454545455</v>
      </c>
      <c r="G27" s="4"/>
      <c r="H27" s="4">
        <v>3322.0</v>
      </c>
      <c r="I27" s="4"/>
      <c r="J27" s="4">
        <v>2584.0</v>
      </c>
      <c r="K27" s="5"/>
      <c r="L27" s="5">
        <v>31003.636363636364</v>
      </c>
      <c r="M27" s="6"/>
      <c r="N27" s="5">
        <v>137757.4015</v>
      </c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22.5" customHeight="1">
      <c r="A28" s="3">
        <v>45684.0</v>
      </c>
      <c r="B28" s="4">
        <v>4429.0</v>
      </c>
      <c r="C28" s="4"/>
      <c r="D28" s="4">
        <v>4060.0</v>
      </c>
      <c r="E28" s="4"/>
      <c r="F28" s="4">
        <v>3875.4545454545455</v>
      </c>
      <c r="G28" s="4"/>
      <c r="H28" s="4">
        <v>3322.0</v>
      </c>
      <c r="I28" s="4"/>
      <c r="J28" s="4">
        <v>2584.0</v>
      </c>
      <c r="K28" s="5"/>
      <c r="L28" s="5">
        <v>31003.636363636364</v>
      </c>
      <c r="M28" s="6"/>
      <c r="N28" s="5">
        <v>137757.4015</v>
      </c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22.5" customHeight="1">
      <c r="A29" s="3">
        <v>45685.0</v>
      </c>
      <c r="B29" s="4">
        <v>4462.0</v>
      </c>
      <c r="C29" s="4"/>
      <c r="D29" s="4">
        <v>4090.0</v>
      </c>
      <c r="E29" s="4"/>
      <c r="F29" s="4">
        <v>3904.0909090909095</v>
      </c>
      <c r="G29" s="4"/>
      <c r="H29" s="4">
        <v>3346.0</v>
      </c>
      <c r="I29" s="4"/>
      <c r="J29" s="4">
        <v>2603.0</v>
      </c>
      <c r="K29" s="5"/>
      <c r="L29" s="5">
        <v>31232.727272727276</v>
      </c>
      <c r="M29" s="6"/>
      <c r="N29" s="5">
        <v>138783.817</v>
      </c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22.5" customHeight="1">
      <c r="A30" s="3">
        <v>45686.0</v>
      </c>
      <c r="B30" s="4">
        <v>4457.0</v>
      </c>
      <c r="C30" s="4"/>
      <c r="D30" s="4">
        <v>4085.0</v>
      </c>
      <c r="E30" s="4"/>
      <c r="F30" s="4">
        <v>3899.318181818182</v>
      </c>
      <c r="G30" s="4"/>
      <c r="H30" s="4">
        <v>3342.0</v>
      </c>
      <c r="I30" s="4"/>
      <c r="J30" s="4">
        <v>2600.0</v>
      </c>
      <c r="K30" s="5"/>
      <c r="L30" s="5">
        <v>31194.545454545456</v>
      </c>
      <c r="M30" s="6"/>
      <c r="N30" s="5">
        <v>138628.2995</v>
      </c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22.5" customHeight="1">
      <c r="A31" s="3">
        <v>45687.0</v>
      </c>
      <c r="B31" s="4">
        <v>4513.0</v>
      </c>
      <c r="C31" s="4"/>
      <c r="D31" s="4">
        <v>4137.0</v>
      </c>
      <c r="E31" s="4"/>
      <c r="F31" s="4">
        <v>3948.9545454545455</v>
      </c>
      <c r="G31" s="4"/>
      <c r="H31" s="4">
        <v>3385.0</v>
      </c>
      <c r="I31" s="4"/>
      <c r="J31" s="4">
        <v>2633.0</v>
      </c>
      <c r="K31" s="5"/>
      <c r="L31" s="5">
        <v>31591.636363636364</v>
      </c>
      <c r="M31" s="6"/>
      <c r="N31" s="5">
        <v>140370.0955</v>
      </c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22.5" customHeight="1">
      <c r="A32" s="3">
        <v>45688.0</v>
      </c>
      <c r="B32" s="4">
        <v>4519.0</v>
      </c>
      <c r="C32" s="4"/>
      <c r="D32" s="4">
        <v>4142.0</v>
      </c>
      <c r="E32" s="4"/>
      <c r="F32" s="4">
        <v>3953.727272727273</v>
      </c>
      <c r="G32" s="4"/>
      <c r="H32" s="4">
        <v>3389.0</v>
      </c>
      <c r="I32" s="4"/>
      <c r="J32" s="4">
        <v>2636.0</v>
      </c>
      <c r="K32" s="5"/>
      <c r="L32" s="5">
        <v>31629.818181818184</v>
      </c>
      <c r="M32" s="6"/>
      <c r="N32" s="5">
        <v>140556.7165</v>
      </c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22.5" customHeight="1">
      <c r="A33" s="3">
        <v>45689.0</v>
      </c>
      <c r="B33" s="4">
        <v>4519.0</v>
      </c>
      <c r="C33" s="4"/>
      <c r="D33" s="4">
        <v>4142.0</v>
      </c>
      <c r="E33" s="4"/>
      <c r="F33" s="4">
        <v>3953.727272727273</v>
      </c>
      <c r="G33" s="4"/>
      <c r="H33" s="4">
        <v>3389.0</v>
      </c>
      <c r="I33" s="4"/>
      <c r="J33" s="4">
        <v>2636.0</v>
      </c>
      <c r="K33" s="5"/>
      <c r="L33" s="5">
        <v>31629.818181818184</v>
      </c>
      <c r="M33" s="6"/>
      <c r="N33" s="5">
        <v>140556.7165</v>
      </c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22.5" customHeight="1">
      <c r="A34" s="3">
        <v>45690.0</v>
      </c>
      <c r="B34" s="4">
        <v>4555.0</v>
      </c>
      <c r="C34" s="4"/>
      <c r="D34" s="4">
        <v>4175.0</v>
      </c>
      <c r="E34" s="4"/>
      <c r="F34" s="4">
        <v>3985.227272727273</v>
      </c>
      <c r="G34" s="4"/>
      <c r="H34" s="4">
        <v>3416.0</v>
      </c>
      <c r="I34" s="4"/>
      <c r="J34" s="4">
        <v>2657.0</v>
      </c>
      <c r="K34" s="5"/>
      <c r="L34" s="5">
        <v>31881.818181818184</v>
      </c>
      <c r="M34" s="6"/>
      <c r="N34" s="5">
        <v>141676.4425</v>
      </c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22.5" customHeight="1">
      <c r="A35" s="3">
        <v>45691.0</v>
      </c>
      <c r="B35" s="4">
        <v>4555.0</v>
      </c>
      <c r="C35" s="4"/>
      <c r="D35" s="4">
        <v>4175.0</v>
      </c>
      <c r="E35" s="4"/>
      <c r="F35" s="4">
        <v>3985.227272727273</v>
      </c>
      <c r="G35" s="4"/>
      <c r="H35" s="4">
        <v>3416.0</v>
      </c>
      <c r="I35" s="4"/>
      <c r="J35" s="4">
        <v>2657.0</v>
      </c>
      <c r="K35" s="5"/>
      <c r="L35" s="5">
        <v>31881.818181818184</v>
      </c>
      <c r="M35" s="6"/>
      <c r="N35" s="5">
        <v>141676.4425</v>
      </c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22.5" customHeight="1">
      <c r="A36" s="3">
        <v>45692.0</v>
      </c>
      <c r="B36" s="4">
        <v>4592.0</v>
      </c>
      <c r="C36" s="4"/>
      <c r="D36" s="4">
        <v>4210.0</v>
      </c>
      <c r="E36" s="4"/>
      <c r="F36" s="4">
        <v>4018.636363636364</v>
      </c>
      <c r="G36" s="4"/>
      <c r="H36" s="4">
        <v>3444.0</v>
      </c>
      <c r="I36" s="4"/>
      <c r="J36" s="4">
        <v>2679.0</v>
      </c>
      <c r="K36" s="5"/>
      <c r="L36" s="5">
        <v>32149.09090909091</v>
      </c>
      <c r="M36" s="6"/>
      <c r="N36" s="5">
        <v>142827.272</v>
      </c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22.5" customHeight="1">
      <c r="A37" s="3">
        <v>45693.0</v>
      </c>
      <c r="B37" s="4">
        <v>4642.0</v>
      </c>
      <c r="C37" s="4"/>
      <c r="D37" s="4">
        <v>4255.0</v>
      </c>
      <c r="E37" s="4"/>
      <c r="F37" s="4">
        <v>4061.5909090909095</v>
      </c>
      <c r="G37" s="4"/>
      <c r="H37" s="4">
        <v>3481.0</v>
      </c>
      <c r="I37" s="4"/>
      <c r="J37" s="4">
        <v>2708.0</v>
      </c>
      <c r="K37" s="5"/>
      <c r="L37" s="5">
        <v>32492.727272727276</v>
      </c>
      <c r="M37" s="6"/>
      <c r="N37" s="5">
        <v>144382.44700000001</v>
      </c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22.5" customHeight="1">
      <c r="A38" s="3">
        <v>45694.0</v>
      </c>
      <c r="B38" s="4">
        <v>4621.0</v>
      </c>
      <c r="C38" s="4"/>
      <c r="D38" s="4">
        <v>4236.0</v>
      </c>
      <c r="E38" s="4"/>
      <c r="F38" s="4">
        <v>4043.4545454545455</v>
      </c>
      <c r="G38" s="4"/>
      <c r="H38" s="4">
        <v>3466.0</v>
      </c>
      <c r="I38" s="4"/>
      <c r="J38" s="4">
        <v>2695.0</v>
      </c>
      <c r="K38" s="5"/>
      <c r="L38" s="5">
        <v>32347.636363636364</v>
      </c>
      <c r="M38" s="6"/>
      <c r="N38" s="5">
        <v>143729.2735</v>
      </c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22.5" customHeight="1">
      <c r="A39" s="3">
        <v>45695.0</v>
      </c>
      <c r="B39" s="4">
        <v>4625.0</v>
      </c>
      <c r="C39" s="4"/>
      <c r="D39" s="4">
        <v>4239.0</v>
      </c>
      <c r="E39" s="4"/>
      <c r="F39" s="4">
        <v>4046.318181818182</v>
      </c>
      <c r="G39" s="4"/>
      <c r="H39" s="4">
        <v>3469.0</v>
      </c>
      <c r="I39" s="4"/>
      <c r="J39" s="4">
        <v>2698.0</v>
      </c>
      <c r="K39" s="5"/>
      <c r="L39" s="5">
        <v>32370.545454545456</v>
      </c>
      <c r="M39" s="6"/>
      <c r="N39" s="5">
        <v>143853.6875</v>
      </c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22.5" customHeight="1">
      <c r="A40" s="3">
        <v>45696.0</v>
      </c>
      <c r="B40" s="4">
        <v>4625.0</v>
      </c>
      <c r="C40" s="4"/>
      <c r="D40" s="4">
        <v>4239.0</v>
      </c>
      <c r="E40" s="4"/>
      <c r="F40" s="4">
        <v>4046.318181818182</v>
      </c>
      <c r="G40" s="4"/>
      <c r="H40" s="4">
        <v>3469.0</v>
      </c>
      <c r="I40" s="4"/>
      <c r="J40" s="4">
        <v>2698.0</v>
      </c>
      <c r="K40" s="5"/>
      <c r="L40" s="5">
        <v>32370.545454545456</v>
      </c>
      <c r="M40" s="6"/>
      <c r="N40" s="5">
        <v>143853.6875</v>
      </c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22.5" customHeight="1">
      <c r="A41" s="3">
        <v>45697.0</v>
      </c>
      <c r="B41" s="4">
        <v>4709.0</v>
      </c>
      <c r="C41" s="4"/>
      <c r="D41" s="4">
        <v>4316.0</v>
      </c>
      <c r="E41" s="4"/>
      <c r="F41" s="4">
        <v>4119.818181818182</v>
      </c>
      <c r="G41" s="4"/>
      <c r="H41" s="4">
        <v>3531.0</v>
      </c>
      <c r="I41" s="4"/>
      <c r="J41" s="4">
        <v>2747.0</v>
      </c>
      <c r="K41" s="5"/>
      <c r="L41" s="5">
        <v>32958.545454545456</v>
      </c>
      <c r="M41" s="6"/>
      <c r="N41" s="5">
        <v>146466.3815</v>
      </c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22.5" customHeight="1">
      <c r="A42" s="3">
        <v>45698.0</v>
      </c>
      <c r="B42" s="4">
        <v>4709.0</v>
      </c>
      <c r="C42" s="4"/>
      <c r="D42" s="4">
        <v>4316.0</v>
      </c>
      <c r="E42" s="4"/>
      <c r="F42" s="4">
        <v>4119.818181818182</v>
      </c>
      <c r="G42" s="4"/>
      <c r="H42" s="4">
        <v>3531.0</v>
      </c>
      <c r="I42" s="4"/>
      <c r="J42" s="4">
        <v>2747.0</v>
      </c>
      <c r="K42" s="5"/>
      <c r="L42" s="5">
        <v>32958.545454545456</v>
      </c>
      <c r="M42" s="6"/>
      <c r="N42" s="5">
        <v>146466.3815</v>
      </c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22.5" customHeight="1">
      <c r="A43" s="3">
        <v>45699.0</v>
      </c>
      <c r="B43" s="4">
        <v>4702.0</v>
      </c>
      <c r="C43" s="4"/>
      <c r="D43" s="4">
        <v>4310.0</v>
      </c>
      <c r="E43" s="4"/>
      <c r="F43" s="4">
        <v>4114.090909090909</v>
      </c>
      <c r="G43" s="4"/>
      <c r="H43" s="4">
        <v>3527.0</v>
      </c>
      <c r="I43" s="4"/>
      <c r="J43" s="4">
        <v>2743.0</v>
      </c>
      <c r="K43" s="5"/>
      <c r="L43" s="5">
        <v>32912.72727272727</v>
      </c>
      <c r="M43" s="6"/>
      <c r="N43" s="5">
        <v>146248.657</v>
      </c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22.5" customHeight="1">
      <c r="A44" s="3">
        <v>45700.0</v>
      </c>
      <c r="B44" s="4">
        <v>4723.0</v>
      </c>
      <c r="C44" s="4"/>
      <c r="D44" s="4">
        <v>4329.0</v>
      </c>
      <c r="E44" s="4"/>
      <c r="F44" s="4">
        <v>4132.227272727273</v>
      </c>
      <c r="G44" s="4"/>
      <c r="H44" s="4">
        <v>3542.0</v>
      </c>
      <c r="I44" s="4"/>
      <c r="J44" s="4">
        <v>2755.0</v>
      </c>
      <c r="K44" s="5"/>
      <c r="L44" s="5">
        <v>33057.818181818184</v>
      </c>
      <c r="M44" s="6"/>
      <c r="N44" s="5">
        <v>146901.8305</v>
      </c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22.5" customHeight="1">
      <c r="A45" s="3">
        <v>45701.0</v>
      </c>
      <c r="B45" s="4">
        <v>4770.0</v>
      </c>
      <c r="C45" s="4"/>
      <c r="D45" s="4">
        <v>4373.0</v>
      </c>
      <c r="E45" s="4"/>
      <c r="F45" s="4">
        <v>4174.227272727273</v>
      </c>
      <c r="G45" s="4"/>
      <c r="H45" s="4">
        <v>3578.0</v>
      </c>
      <c r="I45" s="4"/>
      <c r="J45" s="4">
        <v>2783.0</v>
      </c>
      <c r="K45" s="5"/>
      <c r="L45" s="5">
        <v>33393.818181818184</v>
      </c>
      <c r="M45" s="6"/>
      <c r="N45" s="5">
        <v>148363.695</v>
      </c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22.5" customHeight="1">
      <c r="A46" s="3">
        <v>45702.0</v>
      </c>
      <c r="B46" s="4">
        <v>4689.0</v>
      </c>
      <c r="C46" s="4"/>
      <c r="D46" s="4">
        <v>4299.0</v>
      </c>
      <c r="E46" s="4"/>
      <c r="F46" s="4">
        <v>4103.590909090909</v>
      </c>
      <c r="G46" s="4"/>
      <c r="H46" s="4">
        <v>3517.0</v>
      </c>
      <c r="I46" s="4"/>
      <c r="J46" s="4">
        <v>2736.0</v>
      </c>
      <c r="K46" s="5"/>
      <c r="L46" s="5">
        <v>32828.72727272727</v>
      </c>
      <c r="M46" s="6"/>
      <c r="N46" s="5">
        <v>145844.3115</v>
      </c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22.5" customHeight="1">
      <c r="A47" s="3">
        <v>45703.0</v>
      </c>
      <c r="B47" s="4">
        <v>4689.0</v>
      </c>
      <c r="C47" s="4"/>
      <c r="D47" s="4">
        <v>4299.0</v>
      </c>
      <c r="E47" s="4"/>
      <c r="F47" s="4">
        <v>4103.590909090909</v>
      </c>
      <c r="G47" s="4"/>
      <c r="H47" s="4">
        <v>3517.0</v>
      </c>
      <c r="I47" s="4"/>
      <c r="J47" s="4">
        <v>2736.0</v>
      </c>
      <c r="K47" s="5"/>
      <c r="L47" s="5">
        <v>32828.72727272727</v>
      </c>
      <c r="M47" s="6"/>
      <c r="N47" s="5">
        <v>145844.3115</v>
      </c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22.5" customHeight="1">
      <c r="A48" s="3">
        <v>45704.0</v>
      </c>
      <c r="B48" s="4">
        <v>4714.0</v>
      </c>
      <c r="C48" s="4"/>
      <c r="D48" s="4">
        <v>4321.0</v>
      </c>
      <c r="E48" s="4"/>
      <c r="F48" s="4">
        <v>4124.590909090909</v>
      </c>
      <c r="G48" s="4"/>
      <c r="H48" s="4">
        <v>3536.0</v>
      </c>
      <c r="I48" s="4"/>
      <c r="J48" s="4">
        <v>2750.0</v>
      </c>
      <c r="K48" s="5"/>
      <c r="L48" s="5">
        <v>32996.72727272727</v>
      </c>
      <c r="M48" s="6"/>
      <c r="N48" s="5">
        <v>146621.899</v>
      </c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22.5" customHeight="1">
      <c r="A49" s="3">
        <v>45705.0</v>
      </c>
      <c r="B49" s="4">
        <v>4714.0</v>
      </c>
      <c r="C49" s="4"/>
      <c r="D49" s="4">
        <v>4321.0</v>
      </c>
      <c r="E49" s="4"/>
      <c r="F49" s="4">
        <v>4124.590909090909</v>
      </c>
      <c r="G49" s="4"/>
      <c r="H49" s="4">
        <v>3536.0</v>
      </c>
      <c r="I49" s="4"/>
      <c r="J49" s="4">
        <v>2750.0</v>
      </c>
      <c r="K49" s="5"/>
      <c r="L49" s="5">
        <v>32996.72727272727</v>
      </c>
      <c r="M49" s="6"/>
      <c r="N49" s="5">
        <v>146621.899</v>
      </c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22.5" customHeight="1">
      <c r="A50" s="3">
        <v>45706.0</v>
      </c>
      <c r="B50" s="4">
        <v>4776.0</v>
      </c>
      <c r="C50" s="4"/>
      <c r="D50" s="4">
        <v>4378.0</v>
      </c>
      <c r="E50" s="4"/>
      <c r="F50" s="4">
        <v>4179.0</v>
      </c>
      <c r="G50" s="4"/>
      <c r="H50" s="4">
        <v>3582.0</v>
      </c>
      <c r="I50" s="4"/>
      <c r="J50" s="4">
        <v>2786.0</v>
      </c>
      <c r="K50" s="5"/>
      <c r="L50" s="5">
        <v>33432.0</v>
      </c>
      <c r="M50" s="6"/>
      <c r="N50" s="5">
        <v>148550.316</v>
      </c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22.5" customHeight="1">
      <c r="A51" s="3">
        <v>45707.0</v>
      </c>
      <c r="B51" s="4">
        <v>4778.0</v>
      </c>
      <c r="C51" s="4"/>
      <c r="D51" s="4">
        <v>4380.0</v>
      </c>
      <c r="E51" s="4"/>
      <c r="F51" s="4">
        <v>4180.909090909091</v>
      </c>
      <c r="G51" s="4"/>
      <c r="H51" s="4">
        <v>3583.0</v>
      </c>
      <c r="I51" s="4"/>
      <c r="J51" s="4">
        <v>2787.0</v>
      </c>
      <c r="K51" s="5"/>
      <c r="L51" s="5">
        <v>33447.27272727273</v>
      </c>
      <c r="M51" s="6"/>
      <c r="N51" s="5">
        <v>148612.52300000002</v>
      </c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22.5" customHeight="1">
      <c r="A52" s="3">
        <v>45708.0</v>
      </c>
      <c r="B52" s="4">
        <v>4781.0</v>
      </c>
      <c r="C52" s="4"/>
      <c r="D52" s="4">
        <v>4383.0</v>
      </c>
      <c r="E52" s="4"/>
      <c r="F52" s="4">
        <v>4183.772727272727</v>
      </c>
      <c r="G52" s="4"/>
      <c r="H52" s="4">
        <v>3586.0</v>
      </c>
      <c r="I52" s="4"/>
      <c r="J52" s="4">
        <v>2789.0</v>
      </c>
      <c r="K52" s="5"/>
      <c r="L52" s="5">
        <v>33470.181818181816</v>
      </c>
      <c r="M52" s="6"/>
      <c r="N52" s="5">
        <v>148705.8335</v>
      </c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22.5" customHeight="1">
      <c r="A53" s="3">
        <v>45709.0</v>
      </c>
      <c r="B53" s="4">
        <v>4773.0</v>
      </c>
      <c r="C53" s="4"/>
      <c r="D53" s="4">
        <v>4375.0</v>
      </c>
      <c r="E53" s="4"/>
      <c r="F53" s="4">
        <v>4176.136363636364</v>
      </c>
      <c r="G53" s="4"/>
      <c r="H53" s="4">
        <v>3580.0</v>
      </c>
      <c r="I53" s="4"/>
      <c r="J53" s="4">
        <v>2784.0</v>
      </c>
      <c r="K53" s="5"/>
      <c r="L53" s="5">
        <v>33409.09090909091</v>
      </c>
      <c r="M53" s="6"/>
      <c r="N53" s="5">
        <v>148457.0055</v>
      </c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22.5" customHeight="1">
      <c r="A54" s="3">
        <v>45710.0</v>
      </c>
      <c r="B54" s="4">
        <v>4773.0</v>
      </c>
      <c r="C54" s="4"/>
      <c r="D54" s="4">
        <v>4375.0</v>
      </c>
      <c r="E54" s="4"/>
      <c r="F54" s="4">
        <v>4176.136363636364</v>
      </c>
      <c r="G54" s="4"/>
      <c r="H54" s="4">
        <v>3580.0</v>
      </c>
      <c r="I54" s="4"/>
      <c r="J54" s="4">
        <v>2784.0</v>
      </c>
      <c r="K54" s="5"/>
      <c r="L54" s="5">
        <v>33409.09090909091</v>
      </c>
      <c r="M54" s="6"/>
      <c r="N54" s="5">
        <v>148457.0055</v>
      </c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22.5" customHeight="1">
      <c r="A55" s="3">
        <v>45711.0</v>
      </c>
      <c r="B55" s="4">
        <v>4802.0</v>
      </c>
      <c r="C55" s="4"/>
      <c r="D55" s="4">
        <v>4401.0</v>
      </c>
      <c r="E55" s="4"/>
      <c r="F55" s="4">
        <v>4200.954545454546</v>
      </c>
      <c r="G55" s="4"/>
      <c r="H55" s="4">
        <v>3601.0</v>
      </c>
      <c r="I55" s="4"/>
      <c r="J55" s="4">
        <v>2801.0</v>
      </c>
      <c r="K55" s="5"/>
      <c r="L55" s="5">
        <v>33607.63636363637</v>
      </c>
      <c r="M55" s="6"/>
      <c r="N55" s="5">
        <v>149359.007</v>
      </c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22.5" customHeight="1">
      <c r="A56" s="3">
        <v>45712.0</v>
      </c>
      <c r="B56" s="4">
        <v>4802.0</v>
      </c>
      <c r="C56" s="4"/>
      <c r="D56" s="4">
        <v>4401.0</v>
      </c>
      <c r="E56" s="4"/>
      <c r="F56" s="4">
        <v>4200.954545454546</v>
      </c>
      <c r="G56" s="4"/>
      <c r="H56" s="4">
        <v>3601.0</v>
      </c>
      <c r="I56" s="4"/>
      <c r="J56" s="4">
        <v>2801.0</v>
      </c>
      <c r="K56" s="5"/>
      <c r="L56" s="5">
        <v>33607.63636363637</v>
      </c>
      <c r="M56" s="6"/>
      <c r="N56" s="5">
        <v>149359.007</v>
      </c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22.5" customHeight="1">
      <c r="A57" s="3">
        <v>45713.0</v>
      </c>
      <c r="B57" s="4">
        <v>4739.0</v>
      </c>
      <c r="C57" s="4"/>
      <c r="D57" s="4">
        <v>4344.0</v>
      </c>
      <c r="E57" s="4"/>
      <c r="F57" s="4">
        <v>4146.545454545455</v>
      </c>
      <c r="G57" s="4"/>
      <c r="H57" s="4">
        <v>3555.0</v>
      </c>
      <c r="I57" s="4"/>
      <c r="J57" s="4">
        <v>2765.0</v>
      </c>
      <c r="K57" s="5"/>
      <c r="L57" s="5">
        <v>33172.36363636364</v>
      </c>
      <c r="M57" s="6"/>
      <c r="N57" s="5">
        <v>147399.4865</v>
      </c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22.5" customHeight="1">
      <c r="A58" s="3">
        <v>45714.0</v>
      </c>
      <c r="B58" s="4">
        <v>4745.0</v>
      </c>
      <c r="C58" s="4"/>
      <c r="D58" s="4">
        <v>4349.0</v>
      </c>
      <c r="E58" s="4"/>
      <c r="F58" s="4">
        <v>4151.318181818182</v>
      </c>
      <c r="G58" s="4"/>
      <c r="H58" s="4">
        <v>3559.0</v>
      </c>
      <c r="I58" s="4"/>
      <c r="J58" s="4">
        <v>2768.0</v>
      </c>
      <c r="K58" s="5"/>
      <c r="L58" s="5">
        <v>33210.545454545456</v>
      </c>
      <c r="M58" s="6"/>
      <c r="N58" s="5">
        <v>147586.1075</v>
      </c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22.5" customHeight="1">
      <c r="A59" s="3">
        <v>45715.0</v>
      </c>
      <c r="B59" s="4">
        <v>4684.0</v>
      </c>
      <c r="C59" s="4"/>
      <c r="D59" s="4">
        <v>4293.0</v>
      </c>
      <c r="E59" s="4"/>
      <c r="F59" s="4">
        <v>4097.863636363637</v>
      </c>
      <c r="G59" s="4"/>
      <c r="H59" s="4">
        <v>3513.0</v>
      </c>
      <c r="I59" s="4"/>
      <c r="J59" s="4">
        <v>2732.0</v>
      </c>
      <c r="K59" s="5"/>
      <c r="L59" s="5">
        <v>32782.909090909096</v>
      </c>
      <c r="M59" s="6"/>
      <c r="N59" s="5">
        <v>145688.794</v>
      </c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22.5" customHeight="1">
      <c r="A60" s="3">
        <v>45716.0</v>
      </c>
      <c r="B60" s="4">
        <v>4652.0</v>
      </c>
      <c r="C60" s="4"/>
      <c r="D60" s="4">
        <v>4265.0</v>
      </c>
      <c r="E60" s="4"/>
      <c r="F60" s="4">
        <v>4071.136363636364</v>
      </c>
      <c r="G60" s="4"/>
      <c r="H60" s="4">
        <v>3489.0</v>
      </c>
      <c r="I60" s="4"/>
      <c r="J60" s="4">
        <v>2714.0</v>
      </c>
      <c r="K60" s="5"/>
      <c r="L60" s="5">
        <v>32569.09090909091</v>
      </c>
      <c r="M60" s="6"/>
      <c r="N60" s="5">
        <v>144693.482</v>
      </c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22.5" customHeight="1">
      <c r="A61" s="3">
        <v>45717.0</v>
      </c>
      <c r="B61" s="4">
        <v>4652.0</v>
      </c>
      <c r="C61" s="4"/>
      <c r="D61" s="4">
        <v>4265.0</v>
      </c>
      <c r="E61" s="4"/>
      <c r="F61" s="4">
        <v>4071.136363636364</v>
      </c>
      <c r="G61" s="4"/>
      <c r="H61" s="4">
        <v>3489.0</v>
      </c>
      <c r="I61" s="4"/>
      <c r="J61" s="4">
        <v>2714.0</v>
      </c>
      <c r="K61" s="5"/>
      <c r="L61" s="5">
        <v>32569.09090909091</v>
      </c>
      <c r="M61" s="6"/>
      <c r="N61" s="5">
        <v>144693.482</v>
      </c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22.5" customHeight="1">
      <c r="A62" s="3">
        <v>45718.0</v>
      </c>
      <c r="B62" s="4">
        <v>4709.0</v>
      </c>
      <c r="C62" s="4"/>
      <c r="D62" s="4">
        <v>4316.0</v>
      </c>
      <c r="E62" s="4"/>
      <c r="F62" s="4">
        <v>4119.818181818182</v>
      </c>
      <c r="G62" s="4"/>
      <c r="H62" s="4">
        <v>3531.0</v>
      </c>
      <c r="I62" s="4"/>
      <c r="J62" s="4">
        <v>2747.0</v>
      </c>
      <c r="K62" s="5"/>
      <c r="L62" s="5">
        <v>32958.545454545456</v>
      </c>
      <c r="M62" s="6"/>
      <c r="N62" s="5">
        <v>146466.3815</v>
      </c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22.5" customHeight="1">
      <c r="A63" s="3">
        <v>45719.0</v>
      </c>
      <c r="B63" s="4">
        <v>4709.0</v>
      </c>
      <c r="C63" s="4"/>
      <c r="D63" s="4">
        <v>4316.0</v>
      </c>
      <c r="E63" s="4"/>
      <c r="F63" s="4">
        <v>4119.818181818182</v>
      </c>
      <c r="G63" s="4"/>
      <c r="H63" s="4">
        <v>3531.0</v>
      </c>
      <c r="I63" s="4"/>
      <c r="J63" s="4">
        <v>2747.0</v>
      </c>
      <c r="K63" s="5"/>
      <c r="L63" s="5">
        <v>32958.545454545456</v>
      </c>
      <c r="M63" s="6"/>
      <c r="N63" s="5">
        <v>146466.3815</v>
      </c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22.5" customHeight="1">
      <c r="A64" s="3">
        <v>45720.0</v>
      </c>
      <c r="B64" s="4">
        <v>4746.0</v>
      </c>
      <c r="C64" s="4"/>
      <c r="D64" s="4">
        <v>4351.0</v>
      </c>
      <c r="E64" s="4"/>
      <c r="F64" s="4">
        <v>4153.227272727273</v>
      </c>
      <c r="G64" s="4"/>
      <c r="H64" s="4">
        <v>3560.0</v>
      </c>
      <c r="I64" s="4"/>
      <c r="J64" s="4">
        <v>2769.0</v>
      </c>
      <c r="K64" s="5"/>
      <c r="L64" s="5">
        <v>33225.818181818184</v>
      </c>
      <c r="M64" s="6"/>
      <c r="N64" s="5">
        <v>147617.211</v>
      </c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22.5" customHeight="1">
      <c r="A65" s="3">
        <v>45721.0</v>
      </c>
      <c r="B65" s="4">
        <v>4752.0</v>
      </c>
      <c r="C65" s="4"/>
      <c r="D65" s="4">
        <v>4356.0</v>
      </c>
      <c r="E65" s="4"/>
      <c r="F65" s="4">
        <v>4158.0</v>
      </c>
      <c r="G65" s="4"/>
      <c r="H65" s="4">
        <v>3564.0</v>
      </c>
      <c r="I65" s="4"/>
      <c r="J65" s="4">
        <v>2772.0</v>
      </c>
      <c r="K65" s="5"/>
      <c r="L65" s="5">
        <v>33264.0</v>
      </c>
      <c r="M65" s="6"/>
      <c r="N65" s="5">
        <v>147803.832</v>
      </c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22.5" customHeight="1">
      <c r="A66" s="3">
        <v>45722.0</v>
      </c>
      <c r="B66" s="4">
        <v>4746.0</v>
      </c>
      <c r="C66" s="4"/>
      <c r="D66" s="4">
        <v>4350.0</v>
      </c>
      <c r="E66" s="4"/>
      <c r="F66" s="4">
        <v>4152.272727272727</v>
      </c>
      <c r="G66" s="4"/>
      <c r="H66" s="4">
        <v>3559.0</v>
      </c>
      <c r="I66" s="4"/>
      <c r="J66" s="4">
        <v>2768.0</v>
      </c>
      <c r="K66" s="5"/>
      <c r="L66" s="5">
        <v>33218.181818181816</v>
      </c>
      <c r="M66" s="6"/>
      <c r="N66" s="5">
        <v>147617.211</v>
      </c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22.5" customHeight="1">
      <c r="A67" s="3">
        <v>45723.0</v>
      </c>
      <c r="B67" s="4">
        <v>4743.0</v>
      </c>
      <c r="C67" s="4"/>
      <c r="D67" s="4">
        <v>4348.0</v>
      </c>
      <c r="E67" s="4"/>
      <c r="F67" s="4">
        <v>4150.363636363637</v>
      </c>
      <c r="G67" s="4"/>
      <c r="H67" s="4">
        <v>3558.0</v>
      </c>
      <c r="I67" s="4"/>
      <c r="J67" s="4">
        <v>2767.0</v>
      </c>
      <c r="K67" s="5"/>
      <c r="L67" s="5">
        <v>33202.909090909096</v>
      </c>
      <c r="M67" s="6"/>
      <c r="N67" s="5">
        <v>147523.9005</v>
      </c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22.5" customHeight="1">
      <c r="A68" s="3">
        <v>45724.0</v>
      </c>
      <c r="B68" s="4">
        <v>4743.0</v>
      </c>
      <c r="C68" s="4"/>
      <c r="D68" s="4">
        <v>4348.0</v>
      </c>
      <c r="E68" s="4"/>
      <c r="F68" s="4">
        <v>4150.363636363637</v>
      </c>
      <c r="G68" s="4"/>
      <c r="H68" s="4">
        <v>3558.0</v>
      </c>
      <c r="I68" s="4"/>
      <c r="J68" s="4">
        <v>2767.0</v>
      </c>
      <c r="K68" s="5"/>
      <c r="L68" s="5">
        <v>33202.909090909096</v>
      </c>
      <c r="M68" s="6"/>
      <c r="N68" s="5">
        <v>147523.9005</v>
      </c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22.5" customHeight="1">
      <c r="A69" s="3">
        <v>45725.0</v>
      </c>
      <c r="B69" s="4">
        <v>4695.0</v>
      </c>
      <c r="C69" s="4"/>
      <c r="D69" s="4">
        <v>4303.0</v>
      </c>
      <c r="E69" s="4"/>
      <c r="F69" s="4">
        <v>4107.409090909091</v>
      </c>
      <c r="G69" s="4"/>
      <c r="H69" s="4">
        <v>3521.0</v>
      </c>
      <c r="I69" s="4"/>
      <c r="J69" s="4">
        <v>2739.0</v>
      </c>
      <c r="K69" s="5"/>
      <c r="L69" s="5">
        <v>32859.27272727273</v>
      </c>
      <c r="M69" s="6"/>
      <c r="N69" s="5">
        <v>146030.9325</v>
      </c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22.5" customHeight="1">
      <c r="A70" s="3">
        <v>45726.0</v>
      </c>
      <c r="B70" s="4">
        <v>4695.0</v>
      </c>
      <c r="C70" s="4"/>
      <c r="D70" s="4">
        <v>4303.0</v>
      </c>
      <c r="E70" s="4"/>
      <c r="F70" s="4">
        <v>4107.409090909091</v>
      </c>
      <c r="G70" s="4"/>
      <c r="H70" s="4">
        <v>3521.0</v>
      </c>
      <c r="I70" s="4"/>
      <c r="J70" s="4">
        <v>2739.0</v>
      </c>
      <c r="K70" s="5"/>
      <c r="L70" s="5">
        <v>32859.27272727273</v>
      </c>
      <c r="M70" s="6"/>
      <c r="N70" s="5">
        <v>146030.9325</v>
      </c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22.5" customHeight="1">
      <c r="A71" s="3">
        <v>45727.0</v>
      </c>
      <c r="B71" s="4">
        <v>4744.0</v>
      </c>
      <c r="C71" s="4"/>
      <c r="D71" s="4">
        <v>4349.0</v>
      </c>
      <c r="E71" s="4"/>
      <c r="F71" s="4">
        <v>4151.318181818182</v>
      </c>
      <c r="G71" s="4"/>
      <c r="H71" s="4">
        <v>3558.0</v>
      </c>
      <c r="I71" s="4"/>
      <c r="J71" s="4">
        <v>2768.0</v>
      </c>
      <c r="K71" s="5"/>
      <c r="L71" s="5">
        <v>33210.545454545456</v>
      </c>
      <c r="M71" s="6"/>
      <c r="N71" s="5">
        <v>147555.00400000002</v>
      </c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22.5" customHeight="1">
      <c r="A72" s="3">
        <v>45728.0</v>
      </c>
      <c r="B72" s="4">
        <v>4780.0</v>
      </c>
      <c r="C72" s="4"/>
      <c r="D72" s="4">
        <v>4382.0</v>
      </c>
      <c r="E72" s="4"/>
      <c r="F72" s="4">
        <v>4182.818181818182</v>
      </c>
      <c r="G72" s="4"/>
      <c r="H72" s="4">
        <v>3585.0</v>
      </c>
      <c r="I72" s="4"/>
      <c r="J72" s="4">
        <v>2789.0</v>
      </c>
      <c r="K72" s="5"/>
      <c r="L72" s="5">
        <v>33462.545454545456</v>
      </c>
      <c r="M72" s="6"/>
      <c r="N72" s="5">
        <v>148674.73</v>
      </c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22.5" customHeight="1">
      <c r="A73" s="3">
        <v>45729.0</v>
      </c>
      <c r="B73" s="4">
        <v>4863.0</v>
      </c>
      <c r="C73" s="4"/>
      <c r="D73" s="4">
        <v>4457.0</v>
      </c>
      <c r="E73" s="4"/>
      <c r="F73" s="4">
        <v>4254.409090909091</v>
      </c>
      <c r="G73" s="4"/>
      <c r="H73" s="4">
        <v>3647.0</v>
      </c>
      <c r="I73" s="4"/>
      <c r="J73" s="4">
        <v>2837.0</v>
      </c>
      <c r="K73" s="5"/>
      <c r="L73" s="5">
        <v>34035.27272727273</v>
      </c>
      <c r="M73" s="6"/>
      <c r="N73" s="5">
        <v>151256.3205</v>
      </c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22.5" customHeight="1">
      <c r="A74" s="3">
        <v>45730.0</v>
      </c>
      <c r="B74" s="4">
        <v>4856.0</v>
      </c>
      <c r="C74" s="4"/>
      <c r="D74" s="4">
        <v>4452.0</v>
      </c>
      <c r="E74" s="4"/>
      <c r="F74" s="4">
        <v>4249.636363636364</v>
      </c>
      <c r="G74" s="4"/>
      <c r="H74" s="4">
        <v>3642.0</v>
      </c>
      <c r="I74" s="4"/>
      <c r="J74" s="4">
        <v>2833.0</v>
      </c>
      <c r="K74" s="5"/>
      <c r="L74" s="5">
        <v>33997.09090909091</v>
      </c>
      <c r="M74" s="6"/>
      <c r="N74" s="5">
        <v>151038.596</v>
      </c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22.5" customHeight="1">
      <c r="A75" s="3">
        <v>45731.0</v>
      </c>
      <c r="B75" s="4">
        <v>4856.0</v>
      </c>
      <c r="C75" s="4"/>
      <c r="D75" s="4">
        <v>4452.0</v>
      </c>
      <c r="E75" s="4"/>
      <c r="F75" s="4">
        <v>4249.636363636364</v>
      </c>
      <c r="G75" s="4"/>
      <c r="H75" s="4">
        <v>3642.0</v>
      </c>
      <c r="I75" s="4"/>
      <c r="J75" s="4">
        <v>2833.0</v>
      </c>
      <c r="K75" s="5"/>
      <c r="L75" s="5">
        <v>33997.09090909091</v>
      </c>
      <c r="M75" s="6"/>
      <c r="N75" s="5">
        <v>151038.596</v>
      </c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22.5" customHeight="1">
      <c r="A76" s="3">
        <v>45732.0</v>
      </c>
      <c r="B76" s="4">
        <v>4871.0</v>
      </c>
      <c r="C76" s="4"/>
      <c r="D76" s="4">
        <v>4465.0</v>
      </c>
      <c r="E76" s="4"/>
      <c r="F76" s="4">
        <v>4262.045454545455</v>
      </c>
      <c r="G76" s="4"/>
      <c r="H76" s="4">
        <v>3654.0</v>
      </c>
      <c r="I76" s="4"/>
      <c r="J76" s="4">
        <v>2842.0</v>
      </c>
      <c r="K76" s="5"/>
      <c r="L76" s="5">
        <v>34096.36363636364</v>
      </c>
      <c r="M76" s="6"/>
      <c r="N76" s="5">
        <v>151505.1485</v>
      </c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22.5" customHeight="1">
      <c r="A77" s="3">
        <v>45733.0</v>
      </c>
      <c r="B77" s="4">
        <v>4871.0</v>
      </c>
      <c r="C77" s="4"/>
      <c r="D77" s="4">
        <v>4465.0</v>
      </c>
      <c r="E77" s="4"/>
      <c r="F77" s="4">
        <v>4262.045454545455</v>
      </c>
      <c r="G77" s="4"/>
      <c r="H77" s="4">
        <v>3654.0</v>
      </c>
      <c r="I77" s="4"/>
      <c r="J77" s="4">
        <v>2842.0</v>
      </c>
      <c r="K77" s="5"/>
      <c r="L77" s="5">
        <v>34096.36363636364</v>
      </c>
      <c r="M77" s="6"/>
      <c r="N77" s="5">
        <v>151505.1485</v>
      </c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22.5" customHeight="1">
      <c r="A78" s="3">
        <v>45734.0</v>
      </c>
      <c r="B78" s="4">
        <v>4925.0</v>
      </c>
      <c r="C78" s="4"/>
      <c r="D78" s="4">
        <v>4515.0</v>
      </c>
      <c r="E78" s="4"/>
      <c r="F78" s="4">
        <v>4309.772727272727</v>
      </c>
      <c r="G78" s="4"/>
      <c r="H78" s="4">
        <v>3694.0</v>
      </c>
      <c r="I78" s="4"/>
      <c r="J78" s="4">
        <v>2873.0</v>
      </c>
      <c r="K78" s="5"/>
      <c r="L78" s="5">
        <v>34478.181818181816</v>
      </c>
      <c r="M78" s="6"/>
      <c r="N78" s="5">
        <v>153184.7375</v>
      </c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22.5" customHeight="1">
      <c r="A79" s="3">
        <v>45735.0</v>
      </c>
      <c r="B79" s="4">
        <v>4964.0</v>
      </c>
      <c r="C79" s="4"/>
      <c r="D79" s="4">
        <v>4550.0</v>
      </c>
      <c r="E79" s="4"/>
      <c r="F79" s="4">
        <v>4343.181818181818</v>
      </c>
      <c r="G79" s="4"/>
      <c r="H79" s="4">
        <v>3723.0</v>
      </c>
      <c r="I79" s="4"/>
      <c r="J79" s="4">
        <v>2896.0</v>
      </c>
      <c r="K79" s="5"/>
      <c r="L79" s="5">
        <v>34745.454545454544</v>
      </c>
      <c r="M79" s="6"/>
      <c r="N79" s="5">
        <v>154397.774</v>
      </c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22.5" customHeight="1">
      <c r="A80" s="3">
        <v>45736.0</v>
      </c>
      <c r="B80" s="4">
        <v>4950.0</v>
      </c>
      <c r="C80" s="4"/>
      <c r="D80" s="4">
        <v>4537.0</v>
      </c>
      <c r="E80" s="4"/>
      <c r="F80" s="4">
        <v>4330.772727272727</v>
      </c>
      <c r="G80" s="4"/>
      <c r="H80" s="4">
        <v>3712.0</v>
      </c>
      <c r="I80" s="4"/>
      <c r="J80" s="4">
        <v>2887.0</v>
      </c>
      <c r="K80" s="5"/>
      <c r="L80" s="5">
        <v>34646.181818181816</v>
      </c>
      <c r="M80" s="6"/>
      <c r="N80" s="5">
        <v>153962.325</v>
      </c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22.5" customHeight="1">
      <c r="A81" s="3">
        <v>45737.0</v>
      </c>
      <c r="B81" s="4">
        <v>4893.0</v>
      </c>
      <c r="C81" s="4"/>
      <c r="D81" s="4">
        <v>4485.0</v>
      </c>
      <c r="E81" s="4"/>
      <c r="F81" s="4">
        <v>4281.136363636364</v>
      </c>
      <c r="G81" s="4"/>
      <c r="H81" s="4">
        <v>3670.0</v>
      </c>
      <c r="I81" s="4"/>
      <c r="J81" s="4">
        <v>2854.0</v>
      </c>
      <c r="K81" s="5"/>
      <c r="L81" s="5">
        <v>34249.09090909091</v>
      </c>
      <c r="M81" s="6"/>
      <c r="N81" s="5">
        <v>152189.4255</v>
      </c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22.5" customHeight="1">
      <c r="A82" s="3">
        <v>45738.0</v>
      </c>
      <c r="B82" s="4">
        <v>4893.0</v>
      </c>
      <c r="C82" s="4"/>
      <c r="D82" s="4">
        <v>4485.0</v>
      </c>
      <c r="E82" s="4"/>
      <c r="F82" s="4">
        <v>4281.136363636364</v>
      </c>
      <c r="G82" s="4"/>
      <c r="H82" s="4">
        <v>3670.0</v>
      </c>
      <c r="I82" s="4"/>
      <c r="J82" s="4">
        <v>2854.0</v>
      </c>
      <c r="K82" s="5"/>
      <c r="L82" s="5">
        <v>34249.09090909091</v>
      </c>
      <c r="M82" s="6"/>
      <c r="N82" s="5">
        <v>152189.4255</v>
      </c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22.5" customHeight="1">
      <c r="A83" s="3">
        <v>45739.0</v>
      </c>
      <c r="B83" s="4">
        <v>4898.0</v>
      </c>
      <c r="C83" s="4"/>
      <c r="D83" s="4">
        <v>4490.0</v>
      </c>
      <c r="E83" s="4"/>
      <c r="F83" s="4">
        <v>4285.909090909091</v>
      </c>
      <c r="G83" s="4"/>
      <c r="H83" s="4">
        <v>3674.0</v>
      </c>
      <c r="I83" s="4"/>
      <c r="J83" s="4">
        <v>2857.0</v>
      </c>
      <c r="K83" s="5"/>
      <c r="L83" s="5">
        <v>34287.27272727273</v>
      </c>
      <c r="M83" s="6"/>
      <c r="N83" s="5">
        <v>152344.943</v>
      </c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22.5" customHeight="1">
      <c r="A84" s="3">
        <v>45740.0</v>
      </c>
      <c r="B84" s="4">
        <v>4898.0</v>
      </c>
      <c r="C84" s="4"/>
      <c r="D84" s="4">
        <v>4490.0</v>
      </c>
      <c r="E84" s="4"/>
      <c r="F84" s="4">
        <v>4285.909090909091</v>
      </c>
      <c r="G84" s="4"/>
      <c r="H84" s="4">
        <v>3674.0</v>
      </c>
      <c r="I84" s="4"/>
      <c r="J84" s="4">
        <v>2857.0</v>
      </c>
      <c r="K84" s="5"/>
      <c r="L84" s="5">
        <v>34287.27272727273</v>
      </c>
      <c r="M84" s="6"/>
      <c r="N84" s="5">
        <v>152344.943</v>
      </c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22.5" customHeight="1">
      <c r="A85" s="3">
        <v>45741.0</v>
      </c>
      <c r="B85" s="4">
        <v>4913.0</v>
      </c>
      <c r="C85" s="4"/>
      <c r="D85" s="4">
        <v>4503.0</v>
      </c>
      <c r="E85" s="4"/>
      <c r="F85" s="4">
        <v>4298.318181818182</v>
      </c>
      <c r="G85" s="4"/>
      <c r="H85" s="4">
        <v>3685.0</v>
      </c>
      <c r="I85" s="4"/>
      <c r="J85" s="4">
        <v>2866.0</v>
      </c>
      <c r="K85" s="5"/>
      <c r="L85" s="5">
        <v>34386.545454545456</v>
      </c>
      <c r="M85" s="6"/>
      <c r="N85" s="5">
        <v>152811.4955</v>
      </c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22.5" customHeight="1">
      <c r="A86" s="3">
        <v>45742.0</v>
      </c>
      <c r="B86" s="4">
        <v>4907.0</v>
      </c>
      <c r="C86" s="4"/>
      <c r="D86" s="4">
        <v>4498.0</v>
      </c>
      <c r="E86" s="4"/>
      <c r="F86" s="4">
        <v>4293.545454545455</v>
      </c>
      <c r="G86" s="4"/>
      <c r="H86" s="4">
        <v>3681.0</v>
      </c>
      <c r="I86" s="4"/>
      <c r="J86" s="4">
        <v>2863.0</v>
      </c>
      <c r="K86" s="5"/>
      <c r="L86" s="5">
        <v>34348.36363636364</v>
      </c>
      <c r="M86" s="6"/>
      <c r="N86" s="5">
        <v>152624.8745</v>
      </c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22.5" customHeight="1">
      <c r="A87" s="3">
        <v>45743.0</v>
      </c>
      <c r="B87" s="4">
        <v>4969.0</v>
      </c>
      <c r="C87" s="4"/>
      <c r="D87" s="4">
        <v>4555.0</v>
      </c>
      <c r="E87" s="4"/>
      <c r="F87" s="4">
        <v>4347.954545454546</v>
      </c>
      <c r="G87" s="4"/>
      <c r="H87" s="4">
        <v>3727.0</v>
      </c>
      <c r="I87" s="4"/>
      <c r="J87" s="4">
        <v>2899.0</v>
      </c>
      <c r="K87" s="5"/>
      <c r="L87" s="5">
        <v>34783.63636363637</v>
      </c>
      <c r="M87" s="6"/>
      <c r="N87" s="5">
        <v>154553.2915</v>
      </c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22.5" customHeight="1">
      <c r="A88" s="3">
        <v>45744.0</v>
      </c>
      <c r="B88" s="4">
        <v>5000.0</v>
      </c>
      <c r="C88" s="4"/>
      <c r="D88" s="4">
        <v>4584.0</v>
      </c>
      <c r="E88" s="4"/>
      <c r="F88" s="4">
        <v>4375.636363636364</v>
      </c>
      <c r="G88" s="4"/>
      <c r="H88" s="4">
        <v>3750.0</v>
      </c>
      <c r="I88" s="4"/>
      <c r="J88" s="4">
        <v>2917.0</v>
      </c>
      <c r="K88" s="5"/>
      <c r="L88" s="5">
        <v>35005.09090909091</v>
      </c>
      <c r="M88" s="6"/>
      <c r="N88" s="5">
        <v>155517.5</v>
      </c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22.5" customHeight="1">
      <c r="A89" s="3">
        <v>45745.0</v>
      </c>
      <c r="B89" s="4">
        <v>5000.0</v>
      </c>
      <c r="C89" s="4"/>
      <c r="D89" s="4">
        <v>4584.0</v>
      </c>
      <c r="E89" s="4"/>
      <c r="F89" s="4">
        <v>4375.636363636364</v>
      </c>
      <c r="G89" s="4"/>
      <c r="H89" s="4">
        <v>3750.0</v>
      </c>
      <c r="I89" s="4"/>
      <c r="J89" s="4">
        <v>2917.0</v>
      </c>
      <c r="K89" s="5"/>
      <c r="L89" s="5">
        <v>35005.09090909091</v>
      </c>
      <c r="M89" s="6"/>
      <c r="N89" s="5">
        <v>155517.5</v>
      </c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22.5" customHeight="1">
      <c r="A90" s="3">
        <v>45746.0</v>
      </c>
      <c r="B90" s="4">
        <v>5080.0</v>
      </c>
      <c r="C90" s="4"/>
      <c r="D90" s="4">
        <v>4657.0</v>
      </c>
      <c r="E90" s="4"/>
      <c r="F90" s="4">
        <v>4445.318181818182</v>
      </c>
      <c r="G90" s="4"/>
      <c r="H90" s="4">
        <v>3810.0</v>
      </c>
      <c r="I90" s="4"/>
      <c r="J90" s="4">
        <v>2964.0</v>
      </c>
      <c r="K90" s="5"/>
      <c r="L90" s="5">
        <v>35562.545454545456</v>
      </c>
      <c r="M90" s="6"/>
      <c r="N90" s="5">
        <v>158005.78</v>
      </c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22.5" customHeight="1">
      <c r="A91" s="3">
        <v>45747.0</v>
      </c>
      <c r="B91" s="4">
        <v>5080.0</v>
      </c>
      <c r="C91" s="4"/>
      <c r="D91" s="4">
        <v>4657.0</v>
      </c>
      <c r="E91" s="4"/>
      <c r="F91" s="4">
        <v>4445.318181818182</v>
      </c>
      <c r="G91" s="4"/>
      <c r="H91" s="4">
        <v>3810.0</v>
      </c>
      <c r="I91" s="4"/>
      <c r="J91" s="4">
        <v>2964.0</v>
      </c>
      <c r="K91" s="5"/>
      <c r="L91" s="5">
        <v>35562.545454545456</v>
      </c>
      <c r="M91" s="6"/>
      <c r="N91" s="5">
        <v>158005.78</v>
      </c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22.5" customHeight="1">
      <c r="A92" s="3">
        <v>45748.0</v>
      </c>
      <c r="B92" s="4">
        <v>5063.0</v>
      </c>
      <c r="C92" s="4"/>
      <c r="D92" s="4">
        <v>4641.0</v>
      </c>
      <c r="E92" s="4"/>
      <c r="F92" s="4">
        <v>4430.045454545455</v>
      </c>
      <c r="G92" s="4"/>
      <c r="H92" s="4">
        <v>3797.0</v>
      </c>
      <c r="I92" s="4"/>
      <c r="J92" s="4">
        <v>2953.0</v>
      </c>
      <c r="K92" s="5"/>
      <c r="L92" s="5">
        <v>35440.36363636364</v>
      </c>
      <c r="M92" s="6"/>
      <c r="N92" s="5">
        <v>157477.0205</v>
      </c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22.5" customHeight="1">
      <c r="A93" s="3">
        <v>45749.0</v>
      </c>
      <c r="B93" s="4">
        <v>5113.0</v>
      </c>
      <c r="C93" s="4"/>
      <c r="D93" s="4">
        <v>4687.0</v>
      </c>
      <c r="E93" s="4"/>
      <c r="F93" s="4">
        <v>4473.954545454546</v>
      </c>
      <c r="G93" s="4"/>
      <c r="H93" s="4">
        <v>3835.0</v>
      </c>
      <c r="I93" s="4"/>
      <c r="J93" s="4">
        <v>2983.0</v>
      </c>
      <c r="K93" s="5"/>
      <c r="L93" s="5">
        <v>35791.63636363637</v>
      </c>
      <c r="M93" s="6"/>
      <c r="N93" s="5">
        <v>159032.1955</v>
      </c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22.5" customHeight="1">
      <c r="A94" s="3">
        <v>45750.0</v>
      </c>
      <c r="B94" s="4">
        <v>5064.0</v>
      </c>
      <c r="C94" s="4"/>
      <c r="D94" s="4">
        <v>4642.0</v>
      </c>
      <c r="E94" s="4"/>
      <c r="F94" s="4">
        <v>4431.0</v>
      </c>
      <c r="G94" s="4"/>
      <c r="H94" s="4">
        <v>3798.0</v>
      </c>
      <c r="I94" s="4"/>
      <c r="J94" s="4">
        <v>2954.0</v>
      </c>
      <c r="K94" s="5"/>
      <c r="L94" s="5">
        <v>35448.0</v>
      </c>
      <c r="M94" s="6"/>
      <c r="N94" s="5">
        <v>157508.124</v>
      </c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22.5" customHeight="1">
      <c r="A95" s="3">
        <v>45751.0</v>
      </c>
      <c r="B95" s="4">
        <v>4938.0</v>
      </c>
      <c r="C95" s="4"/>
      <c r="D95" s="4">
        <v>4526.0</v>
      </c>
      <c r="E95" s="4"/>
      <c r="F95" s="4">
        <v>4320.272727272727</v>
      </c>
      <c r="G95" s="4"/>
      <c r="H95" s="4">
        <v>3703.0</v>
      </c>
      <c r="I95" s="4"/>
      <c r="J95" s="4">
        <v>2880.0</v>
      </c>
      <c r="K95" s="5"/>
      <c r="L95" s="5">
        <v>34562.181818181816</v>
      </c>
      <c r="M95" s="6"/>
      <c r="N95" s="5">
        <v>153589.083</v>
      </c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22.5" customHeight="1">
      <c r="A96" s="3">
        <v>45752.0</v>
      </c>
      <c r="B96" s="4">
        <v>4938.0</v>
      </c>
      <c r="C96" s="4"/>
      <c r="D96" s="4">
        <v>4526.0</v>
      </c>
      <c r="E96" s="4"/>
      <c r="F96" s="4">
        <v>4320.272727272727</v>
      </c>
      <c r="G96" s="4"/>
      <c r="H96" s="4">
        <v>3703.0</v>
      </c>
      <c r="I96" s="4"/>
      <c r="J96" s="4">
        <v>2880.0</v>
      </c>
      <c r="K96" s="5"/>
      <c r="L96" s="5">
        <v>34562.181818181816</v>
      </c>
      <c r="M96" s="6"/>
      <c r="N96" s="5">
        <v>153589.083</v>
      </c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22.5" customHeight="1">
      <c r="A97" s="3">
        <v>45753.0</v>
      </c>
      <c r="B97" s="4">
        <v>4932.0</v>
      </c>
      <c r="C97" s="4"/>
      <c r="D97" s="4">
        <v>4521.0</v>
      </c>
      <c r="E97" s="4"/>
      <c r="F97" s="4">
        <v>4315.5</v>
      </c>
      <c r="G97" s="4"/>
      <c r="H97" s="4">
        <v>3699.0</v>
      </c>
      <c r="I97" s="4"/>
      <c r="J97" s="4">
        <v>2877.0</v>
      </c>
      <c r="K97" s="5"/>
      <c r="L97" s="5">
        <v>34524.0</v>
      </c>
      <c r="M97" s="6"/>
      <c r="N97" s="5">
        <v>153402.462</v>
      </c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22.5" customHeight="1">
      <c r="A98" s="3">
        <v>45754.0</v>
      </c>
      <c r="B98" s="4">
        <v>4932.0</v>
      </c>
      <c r="C98" s="4"/>
      <c r="D98" s="4">
        <v>4521.0</v>
      </c>
      <c r="E98" s="4"/>
      <c r="F98" s="4">
        <v>4315.5</v>
      </c>
      <c r="G98" s="4"/>
      <c r="H98" s="4">
        <v>3699.0</v>
      </c>
      <c r="I98" s="4"/>
      <c r="J98" s="4">
        <v>2877.0</v>
      </c>
      <c r="K98" s="5"/>
      <c r="L98" s="5">
        <v>34524.0</v>
      </c>
      <c r="M98" s="6"/>
      <c r="N98" s="5">
        <v>153402.462</v>
      </c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22.5" customHeight="1">
      <c r="A99" s="3">
        <v>45755.0</v>
      </c>
      <c r="B99" s="4">
        <v>4920.0</v>
      </c>
      <c r="C99" s="4"/>
      <c r="D99" s="4">
        <v>4510.0</v>
      </c>
      <c r="E99" s="4"/>
      <c r="F99" s="4">
        <v>4305.0</v>
      </c>
      <c r="G99" s="4"/>
      <c r="H99" s="4">
        <v>3690.0</v>
      </c>
      <c r="I99" s="4"/>
      <c r="J99" s="4">
        <v>2870.0</v>
      </c>
      <c r="K99" s="5"/>
      <c r="L99" s="5">
        <v>34440.0</v>
      </c>
      <c r="M99" s="6"/>
      <c r="N99" s="5">
        <v>153029.22</v>
      </c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22.5" customHeight="1">
      <c r="A100" s="3">
        <v>45756.0</v>
      </c>
      <c r="B100" s="4">
        <v>5113.0</v>
      </c>
      <c r="C100" s="4"/>
      <c r="D100" s="4">
        <v>4687.0</v>
      </c>
      <c r="E100" s="4"/>
      <c r="F100" s="4">
        <v>4473.954545454546</v>
      </c>
      <c r="G100" s="4"/>
      <c r="H100" s="4">
        <v>3835.0</v>
      </c>
      <c r="I100" s="4"/>
      <c r="J100" s="4">
        <v>2983.0</v>
      </c>
      <c r="K100" s="5"/>
      <c r="L100" s="5">
        <v>35791.63636363637</v>
      </c>
      <c r="M100" s="6"/>
      <c r="N100" s="5">
        <v>159032.1955</v>
      </c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22.5" customHeight="1">
      <c r="A101" s="3">
        <v>45757.0</v>
      </c>
      <c r="B101" s="4">
        <v>5235.0</v>
      </c>
      <c r="C101" s="4"/>
      <c r="D101" s="4">
        <v>4799.0</v>
      </c>
      <c r="E101" s="4"/>
      <c r="F101" s="4">
        <v>4580.863636363637</v>
      </c>
      <c r="G101" s="4"/>
      <c r="H101" s="4">
        <v>3926.0</v>
      </c>
      <c r="I101" s="4"/>
      <c r="J101" s="4">
        <v>3054.0</v>
      </c>
      <c r="K101" s="5"/>
      <c r="L101" s="5">
        <v>36646.909090909096</v>
      </c>
      <c r="M101" s="6"/>
      <c r="N101" s="5">
        <v>162826.8225</v>
      </c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22.5" customHeight="1">
      <c r="A102" s="3">
        <v>45758.0</v>
      </c>
      <c r="B102" s="4">
        <v>5336.0</v>
      </c>
      <c r="C102" s="4"/>
      <c r="D102" s="4">
        <v>4891.0</v>
      </c>
      <c r="E102" s="4"/>
      <c r="F102" s="4">
        <v>4668.681818181818</v>
      </c>
      <c r="G102" s="4"/>
      <c r="H102" s="4">
        <v>4002.0</v>
      </c>
      <c r="I102" s="4"/>
      <c r="J102" s="4">
        <v>3112.0</v>
      </c>
      <c r="K102" s="5"/>
      <c r="L102" s="5">
        <v>37349.454545454544</v>
      </c>
      <c r="M102" s="6"/>
      <c r="N102" s="5">
        <v>165968.276</v>
      </c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22.5" customHeight="1">
      <c r="A103" s="3">
        <v>45759.0</v>
      </c>
      <c r="B103" s="4">
        <v>5336.0</v>
      </c>
      <c r="C103" s="4"/>
      <c r="D103" s="4">
        <v>4891.0</v>
      </c>
      <c r="E103" s="4"/>
      <c r="F103" s="4">
        <v>4668.681818181818</v>
      </c>
      <c r="G103" s="4"/>
      <c r="H103" s="4">
        <v>4002.0</v>
      </c>
      <c r="I103" s="4"/>
      <c r="J103" s="4">
        <v>3112.0</v>
      </c>
      <c r="K103" s="5"/>
      <c r="L103" s="5">
        <v>37349.454545454544</v>
      </c>
      <c r="M103" s="6"/>
      <c r="N103" s="5">
        <v>165968.276</v>
      </c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22.5" customHeight="1">
      <c r="A104" s="3">
        <v>45760.0</v>
      </c>
      <c r="B104" s="4">
        <v>5265.0</v>
      </c>
      <c r="C104" s="4"/>
      <c r="D104" s="4">
        <v>4826.0</v>
      </c>
      <c r="E104" s="4"/>
      <c r="F104" s="4">
        <v>4606.636363636364</v>
      </c>
      <c r="G104" s="4"/>
      <c r="H104" s="4">
        <v>3949.0</v>
      </c>
      <c r="I104" s="4"/>
      <c r="J104" s="4">
        <v>3071.0</v>
      </c>
      <c r="K104" s="5"/>
      <c r="L104" s="5">
        <v>36853.09090909091</v>
      </c>
      <c r="M104" s="6"/>
      <c r="N104" s="5">
        <v>163759.9275</v>
      </c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22.5" customHeight="1">
      <c r="A105" s="3">
        <v>45761.0</v>
      </c>
      <c r="B105" s="4">
        <v>5265.0</v>
      </c>
      <c r="C105" s="4"/>
      <c r="D105" s="4">
        <v>4826.0</v>
      </c>
      <c r="E105" s="4"/>
      <c r="F105" s="4">
        <v>4606.636363636364</v>
      </c>
      <c r="G105" s="4"/>
      <c r="H105" s="4">
        <v>3949.0</v>
      </c>
      <c r="I105" s="4"/>
      <c r="J105" s="4">
        <v>3071.0</v>
      </c>
      <c r="K105" s="5"/>
      <c r="L105" s="5">
        <v>36853.09090909091</v>
      </c>
      <c r="M105" s="6"/>
      <c r="N105" s="5">
        <v>163759.9275</v>
      </c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22.5" customHeight="1">
      <c r="A106" s="3">
        <v>45762.0</v>
      </c>
      <c r="B106" s="4">
        <v>5298.0</v>
      </c>
      <c r="C106" s="4"/>
      <c r="D106" s="4">
        <v>4856.0</v>
      </c>
      <c r="E106" s="4"/>
      <c r="F106" s="4">
        <v>4635.272727272727</v>
      </c>
      <c r="G106" s="4"/>
      <c r="H106" s="4">
        <v>3973.0</v>
      </c>
      <c r="I106" s="4"/>
      <c r="J106" s="4">
        <v>3090.0</v>
      </c>
      <c r="K106" s="5"/>
      <c r="L106" s="5">
        <v>37082.181818181816</v>
      </c>
      <c r="M106" s="6"/>
      <c r="N106" s="5">
        <v>164786.343</v>
      </c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22.5" customHeight="1">
      <c r="A107" s="3">
        <v>45763.0</v>
      </c>
      <c r="B107" s="4">
        <v>5493.0</v>
      </c>
      <c r="C107" s="4"/>
      <c r="D107" s="4">
        <v>5035.0</v>
      </c>
      <c r="E107" s="4"/>
      <c r="F107" s="4">
        <v>4806.136363636364</v>
      </c>
      <c r="G107" s="4"/>
      <c r="H107" s="4">
        <v>4120.0</v>
      </c>
      <c r="I107" s="4"/>
      <c r="J107" s="4">
        <v>3204.0</v>
      </c>
      <c r="K107" s="5"/>
      <c r="L107" s="5">
        <v>38449.09090909091</v>
      </c>
      <c r="M107" s="6"/>
      <c r="N107" s="5">
        <v>170851.5255</v>
      </c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22.5" customHeight="1">
      <c r="A108" s="3">
        <v>45764.0</v>
      </c>
      <c r="B108" s="4">
        <v>5456.0</v>
      </c>
      <c r="C108" s="4"/>
      <c r="D108" s="4">
        <v>5002.0</v>
      </c>
      <c r="E108" s="4"/>
      <c r="F108" s="4">
        <v>4774.636363636364</v>
      </c>
      <c r="G108" s="4"/>
      <c r="H108" s="4">
        <v>4092.0</v>
      </c>
      <c r="I108" s="4"/>
      <c r="J108" s="4">
        <v>3183.0</v>
      </c>
      <c r="K108" s="5"/>
      <c r="L108" s="5">
        <v>38197.09090909091</v>
      </c>
      <c r="M108" s="6"/>
      <c r="N108" s="5">
        <v>169700.696</v>
      </c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22.5" customHeight="1">
      <c r="A109" s="3">
        <v>45765.0</v>
      </c>
      <c r="B109" s="4">
        <v>5456.0</v>
      </c>
      <c r="C109" s="4"/>
      <c r="D109" s="4">
        <v>5002.0</v>
      </c>
      <c r="E109" s="4"/>
      <c r="F109" s="4">
        <v>4774.636363636364</v>
      </c>
      <c r="G109" s="4"/>
      <c r="H109" s="4">
        <v>4092.0</v>
      </c>
      <c r="I109" s="4"/>
      <c r="J109" s="4">
        <v>3183.0</v>
      </c>
      <c r="K109" s="5"/>
      <c r="L109" s="5">
        <v>38197.09090909091</v>
      </c>
      <c r="M109" s="6"/>
      <c r="N109" s="5">
        <v>169700.696</v>
      </c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22.5" customHeight="1">
      <c r="A110" s="3">
        <v>45766.0</v>
      </c>
      <c r="B110" s="4">
        <v>5456.0</v>
      </c>
      <c r="C110" s="4"/>
      <c r="D110" s="4">
        <v>5002.0</v>
      </c>
      <c r="E110" s="4"/>
      <c r="F110" s="4">
        <v>4774.636363636364</v>
      </c>
      <c r="G110" s="4"/>
      <c r="H110" s="4">
        <v>4092.0</v>
      </c>
      <c r="I110" s="4"/>
      <c r="J110" s="4">
        <v>3183.0</v>
      </c>
      <c r="K110" s="5"/>
      <c r="L110" s="5">
        <v>38197.09090909091</v>
      </c>
      <c r="M110" s="6"/>
      <c r="N110" s="5">
        <v>169700.696</v>
      </c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22.5" customHeight="1">
      <c r="A111" s="3">
        <v>45767.0</v>
      </c>
      <c r="B111" s="4">
        <v>5568.0</v>
      </c>
      <c r="C111" s="4"/>
      <c r="D111" s="4">
        <v>5104.0</v>
      </c>
      <c r="E111" s="4"/>
      <c r="F111" s="4">
        <v>4872.0</v>
      </c>
      <c r="G111" s="4"/>
      <c r="H111" s="4">
        <v>4176.0</v>
      </c>
      <c r="I111" s="4"/>
      <c r="J111" s="4">
        <v>3248.0</v>
      </c>
      <c r="K111" s="5"/>
      <c r="L111" s="5">
        <v>38976.0</v>
      </c>
      <c r="M111" s="6"/>
      <c r="N111" s="5">
        <v>173184.288</v>
      </c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22.5" customHeight="1">
      <c r="A112" s="3">
        <v>45768.0</v>
      </c>
      <c r="B112" s="4">
        <v>5568.0</v>
      </c>
      <c r="C112" s="4"/>
      <c r="D112" s="4">
        <v>5104.0</v>
      </c>
      <c r="E112" s="4"/>
      <c r="F112" s="4">
        <v>4872.0</v>
      </c>
      <c r="G112" s="4"/>
      <c r="H112" s="4">
        <v>4176.0</v>
      </c>
      <c r="I112" s="4"/>
      <c r="J112" s="4">
        <v>3248.0</v>
      </c>
      <c r="K112" s="5"/>
      <c r="L112" s="5">
        <v>38976.0</v>
      </c>
      <c r="M112" s="6"/>
      <c r="N112" s="5">
        <v>173184.288</v>
      </c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22.5" customHeight="1">
      <c r="A113" s="3">
        <v>45769.0</v>
      </c>
      <c r="B113" s="4">
        <v>5455.0</v>
      </c>
      <c r="C113" s="4"/>
      <c r="D113" s="4">
        <v>5000.0</v>
      </c>
      <c r="E113" s="4"/>
      <c r="F113" s="4">
        <v>4772.727272727273</v>
      </c>
      <c r="G113" s="4"/>
      <c r="H113" s="4">
        <v>4091.0</v>
      </c>
      <c r="I113" s="4"/>
      <c r="J113" s="4">
        <v>3182.0</v>
      </c>
      <c r="K113" s="5"/>
      <c r="L113" s="5">
        <v>38181.818181818184</v>
      </c>
      <c r="M113" s="6"/>
      <c r="N113" s="5">
        <v>169669.5925</v>
      </c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22.5" customHeight="1">
      <c r="A114" s="3">
        <v>45770.0</v>
      </c>
      <c r="B114" s="4">
        <v>5424.0</v>
      </c>
      <c r="C114" s="4"/>
      <c r="D114" s="4">
        <v>4972.0</v>
      </c>
      <c r="E114" s="4"/>
      <c r="F114" s="4">
        <v>4746.0</v>
      </c>
      <c r="G114" s="4"/>
      <c r="H114" s="4">
        <v>4068.0</v>
      </c>
      <c r="I114" s="4"/>
      <c r="J114" s="4">
        <v>3164.0</v>
      </c>
      <c r="K114" s="5"/>
      <c r="L114" s="5">
        <v>37968.0</v>
      </c>
      <c r="M114" s="6"/>
      <c r="N114" s="5">
        <v>168705.384</v>
      </c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22.5" customHeight="1">
      <c r="A115" s="3">
        <v>45771.0</v>
      </c>
      <c r="B115" s="4">
        <v>5511.0</v>
      </c>
      <c r="C115" s="4"/>
      <c r="D115" s="4">
        <v>5051.0</v>
      </c>
      <c r="E115" s="4"/>
      <c r="F115" s="4">
        <v>4821.409090909091</v>
      </c>
      <c r="G115" s="4"/>
      <c r="H115" s="4">
        <v>4133.0</v>
      </c>
      <c r="I115" s="4"/>
      <c r="J115" s="4">
        <v>3214.0</v>
      </c>
      <c r="K115" s="5"/>
      <c r="L115" s="5">
        <v>38571.27272727273</v>
      </c>
      <c r="M115" s="6"/>
      <c r="N115" s="5">
        <v>171411.3885</v>
      </c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22.5" customHeight="1">
      <c r="A116" s="3">
        <v>45772.0</v>
      </c>
      <c r="B116" s="4">
        <v>5417.0</v>
      </c>
      <c r="C116" s="4"/>
      <c r="D116" s="4">
        <v>4966.0</v>
      </c>
      <c r="E116" s="4"/>
      <c r="F116" s="4">
        <v>4740.272727272727</v>
      </c>
      <c r="G116" s="4"/>
      <c r="H116" s="4">
        <v>4063.0</v>
      </c>
      <c r="I116" s="4"/>
      <c r="J116" s="4">
        <v>3160.0</v>
      </c>
      <c r="K116" s="5"/>
      <c r="L116" s="5">
        <v>37922.181818181816</v>
      </c>
      <c r="M116" s="6"/>
      <c r="N116" s="5">
        <v>168487.6595</v>
      </c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22.5" customHeight="1">
      <c r="A117" s="3">
        <v>45773.0</v>
      </c>
      <c r="B117" s="4">
        <v>5417.0</v>
      </c>
      <c r="C117" s="4"/>
      <c r="D117" s="4">
        <v>4966.0</v>
      </c>
      <c r="E117" s="4"/>
      <c r="F117" s="4">
        <v>4740.272727272727</v>
      </c>
      <c r="G117" s="4"/>
      <c r="H117" s="4">
        <v>4063.0</v>
      </c>
      <c r="I117" s="4"/>
      <c r="J117" s="4">
        <v>3160.0</v>
      </c>
      <c r="K117" s="5"/>
      <c r="L117" s="5">
        <v>37922.181818181816</v>
      </c>
      <c r="M117" s="6"/>
      <c r="N117" s="5">
        <v>168487.6595</v>
      </c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22.5" customHeight="1">
      <c r="A118" s="3">
        <v>45774.0</v>
      </c>
      <c r="B118" s="4">
        <v>5453.0</v>
      </c>
      <c r="C118" s="4"/>
      <c r="D118" s="4">
        <v>4998.0</v>
      </c>
      <c r="E118" s="4"/>
      <c r="F118" s="4">
        <v>4770.818181818182</v>
      </c>
      <c r="G118" s="4"/>
      <c r="H118" s="4">
        <v>4090.0</v>
      </c>
      <c r="I118" s="4"/>
      <c r="J118" s="4">
        <v>3181.0</v>
      </c>
      <c r="K118" s="5"/>
      <c r="L118" s="5">
        <v>38166.545454545456</v>
      </c>
      <c r="M118" s="6"/>
      <c r="N118" s="5">
        <v>169607.3855</v>
      </c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22.5" customHeight="1">
      <c r="A119" s="3">
        <v>45775.0</v>
      </c>
      <c r="B119" s="4">
        <v>5453.0</v>
      </c>
      <c r="C119" s="4"/>
      <c r="D119" s="4">
        <v>4998.0</v>
      </c>
      <c r="E119" s="4"/>
      <c r="F119" s="4">
        <v>4770.818181818182</v>
      </c>
      <c r="G119" s="4"/>
      <c r="H119" s="4">
        <v>4090.0</v>
      </c>
      <c r="I119" s="4"/>
      <c r="J119" s="4">
        <v>3181.0</v>
      </c>
      <c r="K119" s="5"/>
      <c r="L119" s="5">
        <v>38166.545454545456</v>
      </c>
      <c r="M119" s="6"/>
      <c r="N119" s="5">
        <v>169607.3855</v>
      </c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22.5" customHeight="1">
      <c r="A120" s="3">
        <v>45776.0</v>
      </c>
      <c r="B120" s="4">
        <v>5420.0</v>
      </c>
      <c r="C120" s="4"/>
      <c r="D120" s="4">
        <v>4969.0</v>
      </c>
      <c r="E120" s="4"/>
      <c r="F120" s="4">
        <v>4743.136363636364</v>
      </c>
      <c r="G120" s="4"/>
      <c r="H120" s="4">
        <v>4065.0</v>
      </c>
      <c r="I120" s="4"/>
      <c r="J120" s="4">
        <v>3162.0</v>
      </c>
      <c r="K120" s="5"/>
      <c r="L120" s="5">
        <v>37945.09090909091</v>
      </c>
      <c r="M120" s="6"/>
      <c r="N120" s="5">
        <v>168580.97</v>
      </c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22.5" customHeight="1">
      <c r="A121" s="3">
        <v>45777.0</v>
      </c>
      <c r="B121" s="4">
        <v>5356.0</v>
      </c>
      <c r="C121" s="4"/>
      <c r="D121" s="4">
        <v>4909.0</v>
      </c>
      <c r="E121" s="4"/>
      <c r="F121" s="4">
        <v>4685.863636363637</v>
      </c>
      <c r="G121" s="4"/>
      <c r="H121" s="4">
        <v>4017.0</v>
      </c>
      <c r="I121" s="4"/>
      <c r="J121" s="4">
        <v>3124.0</v>
      </c>
      <c r="K121" s="5"/>
      <c r="L121" s="5">
        <v>37486.909090909096</v>
      </c>
      <c r="M121" s="6"/>
      <c r="N121" s="5">
        <v>166590.346</v>
      </c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22.5" customHeight="1">
      <c r="A122" s="3">
        <v>45778.0</v>
      </c>
      <c r="B122" s="4">
        <v>5307.0</v>
      </c>
      <c r="C122" s="4"/>
      <c r="D122" s="4">
        <v>4865.0</v>
      </c>
      <c r="E122" s="4"/>
      <c r="F122" s="4">
        <v>4643.863636363637</v>
      </c>
      <c r="G122" s="4"/>
      <c r="H122" s="4">
        <v>3980.0</v>
      </c>
      <c r="I122" s="4"/>
      <c r="J122" s="4">
        <v>3096.0</v>
      </c>
      <c r="K122" s="5"/>
      <c r="L122" s="5">
        <v>37150.909090909096</v>
      </c>
      <c r="M122" s="6"/>
      <c r="N122" s="5">
        <v>165066.2745</v>
      </c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22.5" customHeight="1">
      <c r="A123" s="3">
        <v>45779.0</v>
      </c>
      <c r="B123" s="4">
        <v>5290.0</v>
      </c>
      <c r="C123" s="4"/>
      <c r="D123" s="4">
        <v>4849.0</v>
      </c>
      <c r="E123" s="4"/>
      <c r="F123" s="4">
        <v>4628.590909090909</v>
      </c>
      <c r="G123" s="4"/>
      <c r="H123" s="4">
        <v>3968.0</v>
      </c>
      <c r="I123" s="4"/>
      <c r="J123" s="4">
        <v>3086.0</v>
      </c>
      <c r="K123" s="5"/>
      <c r="L123" s="5">
        <v>37028.72727272727</v>
      </c>
      <c r="M123" s="6"/>
      <c r="N123" s="5">
        <v>164537.515</v>
      </c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22.5" customHeight="1">
      <c r="A124" s="3">
        <v>45780.0</v>
      </c>
      <c r="B124" s="4">
        <v>5290.0</v>
      </c>
      <c r="C124" s="4"/>
      <c r="D124" s="4">
        <v>4849.0</v>
      </c>
      <c r="E124" s="4"/>
      <c r="F124" s="4">
        <v>4628.590909090909</v>
      </c>
      <c r="G124" s="4"/>
      <c r="H124" s="4">
        <v>3968.0</v>
      </c>
      <c r="I124" s="4"/>
      <c r="J124" s="4">
        <v>3086.0</v>
      </c>
      <c r="K124" s="5"/>
      <c r="L124" s="5">
        <v>37028.72727272727</v>
      </c>
      <c r="M124" s="6"/>
      <c r="N124" s="5">
        <v>164537.515</v>
      </c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22.5" customHeight="1">
      <c r="A125" s="3">
        <v>45781.0</v>
      </c>
      <c r="B125" s="4">
        <v>5426.0</v>
      </c>
      <c r="C125" s="4"/>
      <c r="D125" s="4">
        <v>4974.0</v>
      </c>
      <c r="E125" s="4"/>
      <c r="F125" s="4">
        <v>4747.909090909091</v>
      </c>
      <c r="G125" s="4"/>
      <c r="H125" s="4">
        <v>4069.0</v>
      </c>
      <c r="I125" s="4"/>
      <c r="J125" s="4">
        <v>3165.0</v>
      </c>
      <c r="K125" s="5"/>
      <c r="L125" s="5">
        <v>37983.27272727273</v>
      </c>
      <c r="M125" s="6"/>
      <c r="N125" s="5">
        <v>168767.59100000001</v>
      </c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22.5" customHeight="1">
      <c r="A126" s="3">
        <v>45782.0</v>
      </c>
      <c r="B126" s="4">
        <v>5426.0</v>
      </c>
      <c r="C126" s="4"/>
      <c r="D126" s="4">
        <v>4974.0</v>
      </c>
      <c r="E126" s="4"/>
      <c r="F126" s="4">
        <v>4747.909090909091</v>
      </c>
      <c r="G126" s="4"/>
      <c r="H126" s="4">
        <v>4069.0</v>
      </c>
      <c r="I126" s="4"/>
      <c r="J126" s="4">
        <v>3165.0</v>
      </c>
      <c r="K126" s="5"/>
      <c r="L126" s="5">
        <v>37983.27272727273</v>
      </c>
      <c r="M126" s="6"/>
      <c r="N126" s="5">
        <v>168767.59100000001</v>
      </c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22.5" customHeight="1">
      <c r="A127" s="3">
        <v>45783.0</v>
      </c>
      <c r="B127" s="4">
        <v>5535.0</v>
      </c>
      <c r="C127" s="4"/>
      <c r="D127" s="4">
        <v>5074.0</v>
      </c>
      <c r="E127" s="4"/>
      <c r="F127" s="4">
        <v>4843.363636363637</v>
      </c>
      <c r="G127" s="4"/>
      <c r="H127" s="4">
        <v>4151.0</v>
      </c>
      <c r="I127" s="4"/>
      <c r="J127" s="4">
        <v>3229.0</v>
      </c>
      <c r="K127" s="5"/>
      <c r="L127" s="5">
        <v>38746.909090909096</v>
      </c>
      <c r="M127" s="6"/>
      <c r="N127" s="5">
        <v>172157.8725</v>
      </c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22.5" customHeight="1">
      <c r="A128" s="3">
        <v>45784.0</v>
      </c>
      <c r="B128" s="4">
        <v>5480.0</v>
      </c>
      <c r="C128" s="4"/>
      <c r="D128" s="4">
        <v>5023.0</v>
      </c>
      <c r="E128" s="4"/>
      <c r="F128" s="4">
        <v>4794.681818181818</v>
      </c>
      <c r="G128" s="4"/>
      <c r="H128" s="4">
        <v>4110.0</v>
      </c>
      <c r="I128" s="4"/>
      <c r="J128" s="4">
        <v>3196.0</v>
      </c>
      <c r="K128" s="5"/>
      <c r="L128" s="5">
        <v>38357.454545454544</v>
      </c>
      <c r="M128" s="6"/>
      <c r="N128" s="5">
        <v>170447.18</v>
      </c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22.5" customHeight="1">
      <c r="A129" s="3">
        <v>45785.0</v>
      </c>
      <c r="B129" s="4">
        <v>5386.0</v>
      </c>
      <c r="C129" s="4"/>
      <c r="D129" s="4">
        <v>4937.0</v>
      </c>
      <c r="E129" s="4"/>
      <c r="F129" s="4">
        <v>4712.590909090909</v>
      </c>
      <c r="G129" s="4"/>
      <c r="H129" s="4">
        <v>4039.0</v>
      </c>
      <c r="I129" s="4"/>
      <c r="J129" s="4">
        <v>3142.0</v>
      </c>
      <c r="K129" s="5"/>
      <c r="L129" s="5">
        <v>37700.72727272727</v>
      </c>
      <c r="M129" s="6"/>
      <c r="N129" s="5">
        <v>167523.451</v>
      </c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22.5" customHeight="1">
      <c r="A130" s="3">
        <v>45786.0</v>
      </c>
      <c r="B130" s="4">
        <v>5417.0</v>
      </c>
      <c r="C130" s="4"/>
      <c r="D130" s="4">
        <v>4965.0</v>
      </c>
      <c r="E130" s="4"/>
      <c r="F130" s="4">
        <v>4739.318181818182</v>
      </c>
      <c r="G130" s="4"/>
      <c r="H130" s="4">
        <v>4062.0</v>
      </c>
      <c r="I130" s="4"/>
      <c r="J130" s="4">
        <v>3160.0</v>
      </c>
      <c r="K130" s="5"/>
      <c r="L130" s="5">
        <v>37914.545454545456</v>
      </c>
      <c r="M130" s="6"/>
      <c r="N130" s="5">
        <v>168487.6595</v>
      </c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22.5" customHeight="1">
      <c r="A131" s="3">
        <v>45787.0</v>
      </c>
      <c r="B131" s="4">
        <v>5417.0</v>
      </c>
      <c r="C131" s="4"/>
      <c r="D131" s="4">
        <v>4965.0</v>
      </c>
      <c r="E131" s="4"/>
      <c r="F131" s="4">
        <v>4739.318181818182</v>
      </c>
      <c r="G131" s="4"/>
      <c r="H131" s="4">
        <v>4062.0</v>
      </c>
      <c r="I131" s="4"/>
      <c r="J131" s="4">
        <v>3160.0</v>
      </c>
      <c r="K131" s="5"/>
      <c r="L131" s="5">
        <v>37914.545454545456</v>
      </c>
      <c r="M131" s="6"/>
      <c r="N131" s="5">
        <v>168487.6595</v>
      </c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22.5" customHeight="1">
      <c r="A132" s="3">
        <v>45788.0</v>
      </c>
      <c r="B132" s="4">
        <v>5252.0</v>
      </c>
      <c r="C132" s="4"/>
      <c r="D132" s="4">
        <v>4814.0</v>
      </c>
      <c r="E132" s="4"/>
      <c r="F132" s="4">
        <v>4595.181818181818</v>
      </c>
      <c r="G132" s="4"/>
      <c r="H132" s="4">
        <v>3939.0</v>
      </c>
      <c r="I132" s="4"/>
      <c r="J132" s="4">
        <v>3064.0</v>
      </c>
      <c r="K132" s="5"/>
      <c r="L132" s="5">
        <v>36761.454545454544</v>
      </c>
      <c r="M132" s="6"/>
      <c r="N132" s="5">
        <v>163355.582</v>
      </c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22.5" customHeight="1">
      <c r="A133" s="3">
        <v>45789.0</v>
      </c>
      <c r="B133" s="4">
        <v>5252.0</v>
      </c>
      <c r="C133" s="4"/>
      <c r="D133" s="4">
        <v>4814.0</v>
      </c>
      <c r="E133" s="4"/>
      <c r="F133" s="4">
        <v>4595.181818181818</v>
      </c>
      <c r="G133" s="4"/>
      <c r="H133" s="4">
        <v>3939.0</v>
      </c>
      <c r="I133" s="4"/>
      <c r="J133" s="4">
        <v>3064.0</v>
      </c>
      <c r="K133" s="5"/>
      <c r="L133" s="5">
        <v>36761.454545454544</v>
      </c>
      <c r="M133" s="6"/>
      <c r="N133" s="5">
        <v>163355.582</v>
      </c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22.5" customHeight="1">
      <c r="A134" s="3">
        <v>45790.0</v>
      </c>
      <c r="B134" s="4">
        <v>5274.0</v>
      </c>
      <c r="C134" s="4"/>
      <c r="D134" s="4">
        <v>4834.0</v>
      </c>
      <c r="E134" s="4"/>
      <c r="F134" s="4">
        <v>4614.272727272727</v>
      </c>
      <c r="G134" s="4"/>
      <c r="H134" s="4">
        <v>3955.0</v>
      </c>
      <c r="I134" s="4"/>
      <c r="J134" s="4">
        <v>3076.0</v>
      </c>
      <c r="K134" s="5"/>
      <c r="L134" s="5">
        <v>36914.181818181816</v>
      </c>
      <c r="M134" s="6"/>
      <c r="N134" s="5">
        <v>164039.859</v>
      </c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22.5" customHeight="1">
      <c r="A135" s="3">
        <v>45791.0</v>
      </c>
      <c r="B135" s="4">
        <v>5154.0</v>
      </c>
      <c r="C135" s="4"/>
      <c r="D135" s="4">
        <v>4724.0</v>
      </c>
      <c r="E135" s="4"/>
      <c r="F135" s="4">
        <v>4509.272727272727</v>
      </c>
      <c r="G135" s="4"/>
      <c r="H135" s="4">
        <v>3865.0</v>
      </c>
      <c r="I135" s="4"/>
      <c r="J135" s="4">
        <v>3006.0</v>
      </c>
      <c r="K135" s="5"/>
      <c r="L135" s="5">
        <v>36074.181818181816</v>
      </c>
      <c r="M135" s="6"/>
      <c r="N135" s="5">
        <v>160307.439</v>
      </c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22.5" customHeight="1">
      <c r="A136" s="3">
        <v>45792.0</v>
      </c>
      <c r="B136" s="4">
        <v>5235.0</v>
      </c>
      <c r="C136" s="4"/>
      <c r="D136" s="4">
        <v>4799.0</v>
      </c>
      <c r="E136" s="4"/>
      <c r="F136" s="4">
        <v>4580.863636363637</v>
      </c>
      <c r="G136" s="4"/>
      <c r="H136" s="4">
        <v>3926.0</v>
      </c>
      <c r="I136" s="4"/>
      <c r="J136" s="4">
        <v>3054.0</v>
      </c>
      <c r="K136" s="5"/>
      <c r="L136" s="5">
        <v>36646.909090909096</v>
      </c>
      <c r="M136" s="6"/>
      <c r="N136" s="5">
        <v>162826.8225</v>
      </c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22.5" customHeight="1">
      <c r="A137" s="3">
        <v>45793.0</v>
      </c>
      <c r="B137" s="4">
        <v>5156.0</v>
      </c>
      <c r="C137" s="4"/>
      <c r="D137" s="4">
        <v>4727.0</v>
      </c>
      <c r="E137" s="4"/>
      <c r="F137" s="4">
        <v>4512.136363636364</v>
      </c>
      <c r="G137" s="4"/>
      <c r="H137" s="4">
        <v>3867.0</v>
      </c>
      <c r="I137" s="4"/>
      <c r="J137" s="4">
        <v>3008.0</v>
      </c>
      <c r="K137" s="5"/>
      <c r="L137" s="5">
        <v>36097.09090909091</v>
      </c>
      <c r="M137" s="6"/>
      <c r="N137" s="5">
        <v>160369.646</v>
      </c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22.5" customHeight="1">
      <c r="A138" s="3">
        <v>45794.0</v>
      </c>
      <c r="B138" s="4">
        <v>5156.0</v>
      </c>
      <c r="C138" s="4"/>
      <c r="D138" s="4">
        <v>4727.0</v>
      </c>
      <c r="E138" s="4"/>
      <c r="F138" s="4">
        <v>4512.136363636364</v>
      </c>
      <c r="G138" s="4"/>
      <c r="H138" s="4">
        <v>3867.0</v>
      </c>
      <c r="I138" s="4"/>
      <c r="J138" s="4">
        <v>3008.0</v>
      </c>
      <c r="K138" s="5"/>
      <c r="L138" s="5">
        <v>36097.09090909091</v>
      </c>
      <c r="M138" s="6"/>
      <c r="N138" s="5">
        <v>160369.646</v>
      </c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22.5" customHeight="1">
      <c r="A139" s="3">
        <v>45795.0</v>
      </c>
      <c r="B139" s="4">
        <v>5192.0</v>
      </c>
      <c r="C139" s="4"/>
      <c r="D139" s="4">
        <v>4760.0</v>
      </c>
      <c r="E139" s="4"/>
      <c r="F139" s="4">
        <v>4543.636363636364</v>
      </c>
      <c r="G139" s="4"/>
      <c r="H139" s="4">
        <v>3894.0</v>
      </c>
      <c r="I139" s="4"/>
      <c r="J139" s="4">
        <v>3029.0</v>
      </c>
      <c r="K139" s="5"/>
      <c r="L139" s="5">
        <v>36349.09090909091</v>
      </c>
      <c r="M139" s="6"/>
      <c r="N139" s="5">
        <v>161489.372</v>
      </c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22.5" customHeight="1">
      <c r="A140" s="3">
        <v>45796.0</v>
      </c>
      <c r="B140" s="4">
        <v>5192.0</v>
      </c>
      <c r="C140" s="4"/>
      <c r="D140" s="4">
        <v>4760.0</v>
      </c>
      <c r="E140" s="4"/>
      <c r="F140" s="4">
        <v>4543.636363636364</v>
      </c>
      <c r="G140" s="4"/>
      <c r="H140" s="4">
        <v>3894.0</v>
      </c>
      <c r="I140" s="4"/>
      <c r="J140" s="4">
        <v>3029.0</v>
      </c>
      <c r="K140" s="5"/>
      <c r="L140" s="5">
        <v>36349.09090909091</v>
      </c>
      <c r="M140" s="6"/>
      <c r="N140" s="5">
        <v>161489.372</v>
      </c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22.5" customHeight="1">
      <c r="A141" s="3">
        <v>45797.0</v>
      </c>
      <c r="B141" s="4">
        <v>5288.0</v>
      </c>
      <c r="C141" s="4"/>
      <c r="D141" s="4">
        <v>4847.0</v>
      </c>
      <c r="E141" s="4"/>
      <c r="F141" s="4">
        <v>4626.681818181818</v>
      </c>
      <c r="G141" s="4"/>
      <c r="H141" s="4">
        <v>3966.0</v>
      </c>
      <c r="I141" s="4"/>
      <c r="J141" s="4">
        <v>3085.0</v>
      </c>
      <c r="K141" s="5"/>
      <c r="L141" s="5">
        <v>37013.454545454544</v>
      </c>
      <c r="M141" s="6"/>
      <c r="N141" s="5">
        <v>164475.308</v>
      </c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22.5" customHeight="1">
      <c r="A142" s="3">
        <v>45798.0</v>
      </c>
      <c r="B142" s="4">
        <v>5333.0</v>
      </c>
      <c r="C142" s="4"/>
      <c r="D142" s="4">
        <v>4889.0</v>
      </c>
      <c r="E142" s="4"/>
      <c r="F142" s="4">
        <v>4666.772727272727</v>
      </c>
      <c r="G142" s="4"/>
      <c r="H142" s="4">
        <v>4000.0</v>
      </c>
      <c r="I142" s="4"/>
      <c r="J142" s="4">
        <v>3111.0</v>
      </c>
      <c r="K142" s="5"/>
      <c r="L142" s="5">
        <v>37334.181818181816</v>
      </c>
      <c r="M142" s="6"/>
      <c r="N142" s="5">
        <v>165874.9655</v>
      </c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22.5" customHeight="1">
      <c r="A143" s="3">
        <v>45799.0</v>
      </c>
      <c r="B143" s="4">
        <v>5292.0</v>
      </c>
      <c r="C143" s="4"/>
      <c r="D143" s="4">
        <v>4851.0</v>
      </c>
      <c r="E143" s="4"/>
      <c r="F143" s="4">
        <v>4630.5</v>
      </c>
      <c r="G143" s="4"/>
      <c r="H143" s="4">
        <v>3969.0</v>
      </c>
      <c r="I143" s="4"/>
      <c r="J143" s="4">
        <v>3087.0</v>
      </c>
      <c r="K143" s="5"/>
      <c r="L143" s="5">
        <v>37044.0</v>
      </c>
      <c r="M143" s="6"/>
      <c r="N143" s="5">
        <v>164599.722</v>
      </c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22.5" customHeight="1">
      <c r="A144" s="3">
        <v>45800.0</v>
      </c>
      <c r="B144" s="4">
        <v>5385.0</v>
      </c>
      <c r="C144" s="4"/>
      <c r="D144" s="4">
        <v>4936.0</v>
      </c>
      <c r="E144" s="4"/>
      <c r="F144" s="4">
        <v>4711.636363636364</v>
      </c>
      <c r="G144" s="4"/>
      <c r="H144" s="4">
        <v>4038.0</v>
      </c>
      <c r="I144" s="4"/>
      <c r="J144" s="4">
        <v>3141.0</v>
      </c>
      <c r="K144" s="5"/>
      <c r="L144" s="5">
        <v>37693.09090909091</v>
      </c>
      <c r="M144" s="6"/>
      <c r="N144" s="5">
        <v>167492.3475</v>
      </c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22.5" customHeight="1">
      <c r="A145" s="3">
        <v>45801.0</v>
      </c>
      <c r="B145" s="4">
        <v>5385.0</v>
      </c>
      <c r="C145" s="4"/>
      <c r="D145" s="4">
        <v>4936.0</v>
      </c>
      <c r="E145" s="4"/>
      <c r="F145" s="4">
        <v>4711.636363636364</v>
      </c>
      <c r="G145" s="4"/>
      <c r="H145" s="4">
        <v>4038.0</v>
      </c>
      <c r="I145" s="4"/>
      <c r="J145" s="4">
        <v>3141.0</v>
      </c>
      <c r="K145" s="5"/>
      <c r="L145" s="5">
        <v>37693.09090909091</v>
      </c>
      <c r="M145" s="6"/>
      <c r="N145" s="5">
        <v>167492.3475</v>
      </c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22.5" customHeight="1">
      <c r="A146" s="3">
        <v>45802.0</v>
      </c>
      <c r="B146" s="4">
        <v>5358.0</v>
      </c>
      <c r="C146" s="4"/>
      <c r="D146" s="4">
        <v>4912.0</v>
      </c>
      <c r="E146" s="4"/>
      <c r="F146" s="4">
        <v>4688.727272727273</v>
      </c>
      <c r="G146" s="4"/>
      <c r="H146" s="4">
        <v>4019.0</v>
      </c>
      <c r="I146" s="4"/>
      <c r="J146" s="4">
        <v>3126.0</v>
      </c>
      <c r="K146" s="5"/>
      <c r="L146" s="5">
        <v>37509.818181818184</v>
      </c>
      <c r="M146" s="6"/>
      <c r="N146" s="5">
        <v>166652.553</v>
      </c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22.5" customHeight="1">
      <c r="A147" s="3">
        <v>45803.0</v>
      </c>
      <c r="B147" s="4">
        <v>5358.0</v>
      </c>
      <c r="C147" s="4"/>
      <c r="D147" s="4">
        <v>4912.0</v>
      </c>
      <c r="E147" s="4"/>
      <c r="F147" s="4">
        <v>4688.727272727273</v>
      </c>
      <c r="G147" s="4"/>
      <c r="H147" s="4">
        <v>4019.0</v>
      </c>
      <c r="I147" s="4"/>
      <c r="J147" s="4">
        <v>3126.0</v>
      </c>
      <c r="K147" s="5"/>
      <c r="L147" s="5">
        <v>37509.818181818184</v>
      </c>
      <c r="M147" s="6"/>
      <c r="N147" s="5">
        <v>166652.553</v>
      </c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22.5" customHeight="1">
      <c r="A148" s="3">
        <v>45804.0</v>
      </c>
      <c r="B148" s="4">
        <v>5291.0</v>
      </c>
      <c r="C148" s="4"/>
      <c r="D148" s="4">
        <v>4850.0</v>
      </c>
      <c r="E148" s="4"/>
      <c r="F148" s="4">
        <v>4629.545454545455</v>
      </c>
      <c r="G148" s="4"/>
      <c r="H148" s="4">
        <v>3968.0</v>
      </c>
      <c r="I148" s="4"/>
      <c r="J148" s="4">
        <v>3086.0</v>
      </c>
      <c r="K148" s="5"/>
      <c r="L148" s="5">
        <v>37036.36363636364</v>
      </c>
      <c r="M148" s="6"/>
      <c r="N148" s="5">
        <v>164568.6185</v>
      </c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22.5" customHeight="1">
      <c r="A149" s="3">
        <v>45805.0</v>
      </c>
      <c r="B149" s="4">
        <v>5259.0</v>
      </c>
      <c r="C149" s="4"/>
      <c r="D149" s="4">
        <v>4821.0</v>
      </c>
      <c r="E149" s="4"/>
      <c r="F149" s="4">
        <v>4601.863636363637</v>
      </c>
      <c r="G149" s="4"/>
      <c r="H149" s="4">
        <v>3944.0</v>
      </c>
      <c r="I149" s="4"/>
      <c r="J149" s="4">
        <v>3068.0</v>
      </c>
      <c r="K149" s="5"/>
      <c r="L149" s="5">
        <v>36814.909090909096</v>
      </c>
      <c r="M149" s="6"/>
      <c r="N149" s="5">
        <v>163573.3065</v>
      </c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22.5" customHeight="1">
      <c r="A150" s="3">
        <v>45806.0</v>
      </c>
      <c r="B150" s="4">
        <v>5308.0</v>
      </c>
      <c r="C150" s="4"/>
      <c r="D150" s="4">
        <v>4866.0</v>
      </c>
      <c r="E150" s="4"/>
      <c r="F150" s="4">
        <v>4644.818181818182</v>
      </c>
      <c r="G150" s="4"/>
      <c r="H150" s="4">
        <v>3981.0</v>
      </c>
      <c r="I150" s="4"/>
      <c r="J150" s="4">
        <v>3096.0</v>
      </c>
      <c r="K150" s="5"/>
      <c r="L150" s="5">
        <v>37158.545454545456</v>
      </c>
      <c r="M150" s="6"/>
      <c r="N150" s="5">
        <v>165097.378</v>
      </c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22.5" customHeight="1">
      <c r="A151" s="3">
        <v>45807.0</v>
      </c>
      <c r="B151" s="4">
        <v>5264.0</v>
      </c>
      <c r="C151" s="4"/>
      <c r="D151" s="4">
        <v>4826.0</v>
      </c>
      <c r="E151" s="4"/>
      <c r="F151" s="4">
        <v>4606.636363636364</v>
      </c>
      <c r="G151" s="4"/>
      <c r="H151" s="4">
        <v>3948.0</v>
      </c>
      <c r="I151" s="4"/>
      <c r="J151" s="4">
        <v>3071.0</v>
      </c>
      <c r="K151" s="5"/>
      <c r="L151" s="5">
        <v>36853.09090909091</v>
      </c>
      <c r="M151" s="6"/>
      <c r="N151" s="5">
        <v>163728.824</v>
      </c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22.5" customHeight="1">
      <c r="A152" s="3">
        <v>45808.0</v>
      </c>
      <c r="B152" s="4">
        <v>5264.0</v>
      </c>
      <c r="C152" s="4"/>
      <c r="D152" s="4">
        <v>4826.0</v>
      </c>
      <c r="E152" s="4"/>
      <c r="F152" s="4">
        <v>4606.636363636364</v>
      </c>
      <c r="G152" s="4"/>
      <c r="H152" s="4">
        <v>3948.0</v>
      </c>
      <c r="I152" s="4"/>
      <c r="J152" s="4">
        <v>3071.0</v>
      </c>
      <c r="K152" s="5"/>
      <c r="L152" s="5">
        <v>36853.09090909091</v>
      </c>
      <c r="M152" s="6"/>
      <c r="N152" s="5">
        <v>163728.824</v>
      </c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22.5" customHeight="1">
      <c r="A153" s="3">
        <v>45809.0</v>
      </c>
      <c r="B153" s="4">
        <v>5414.0</v>
      </c>
      <c r="C153" s="4"/>
      <c r="D153" s="4">
        <v>4962.0</v>
      </c>
      <c r="E153" s="4"/>
      <c r="F153" s="4">
        <v>4736.454545454546</v>
      </c>
      <c r="G153" s="4"/>
      <c r="H153" s="4">
        <v>4060.0</v>
      </c>
      <c r="I153" s="4"/>
      <c r="J153" s="4">
        <v>3158.0</v>
      </c>
      <c r="K153" s="5"/>
      <c r="L153" s="5">
        <v>37891.63636363637</v>
      </c>
      <c r="M153" s="6"/>
      <c r="N153" s="5">
        <v>168394.34900000002</v>
      </c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22.5" customHeight="1">
      <c r="A154" s="3">
        <v>45810.0</v>
      </c>
      <c r="B154" s="4">
        <v>5414.0</v>
      </c>
      <c r="C154" s="4"/>
      <c r="D154" s="4">
        <v>4962.0</v>
      </c>
      <c r="E154" s="4"/>
      <c r="F154" s="4">
        <v>4736.454545454546</v>
      </c>
      <c r="G154" s="4"/>
      <c r="H154" s="4">
        <v>4060.0</v>
      </c>
      <c r="I154" s="4"/>
      <c r="J154" s="4">
        <v>3158.0</v>
      </c>
      <c r="K154" s="5"/>
      <c r="L154" s="5">
        <v>37891.63636363637</v>
      </c>
      <c r="M154" s="6"/>
      <c r="N154" s="5">
        <v>168394.34900000002</v>
      </c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22.5" customHeight="1">
      <c r="A155" s="3">
        <v>45811.0</v>
      </c>
      <c r="B155" s="4">
        <v>5362.0</v>
      </c>
      <c r="C155" s="4"/>
      <c r="D155" s="4">
        <v>4915.0</v>
      </c>
      <c r="E155" s="4"/>
      <c r="F155" s="4">
        <v>4691.590909090909</v>
      </c>
      <c r="G155" s="4"/>
      <c r="H155" s="4">
        <v>4022.0</v>
      </c>
      <c r="I155" s="4"/>
      <c r="J155" s="4">
        <v>3128.0</v>
      </c>
      <c r="K155" s="5"/>
      <c r="L155" s="5">
        <v>37532.72727272727</v>
      </c>
      <c r="M155" s="6"/>
      <c r="N155" s="5">
        <v>166776.967</v>
      </c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22.5" customHeight="1">
      <c r="A156" s="3">
        <v>45812.0</v>
      </c>
      <c r="B156" s="4">
        <v>5395.0</v>
      </c>
      <c r="C156" s="4"/>
      <c r="D156" s="4">
        <v>4945.0</v>
      </c>
      <c r="E156" s="4"/>
      <c r="F156" s="4">
        <v>4720.227272727273</v>
      </c>
      <c r="G156" s="4"/>
      <c r="H156" s="4">
        <v>4046.0</v>
      </c>
      <c r="I156" s="4"/>
      <c r="J156" s="4">
        <v>3147.0</v>
      </c>
      <c r="K156" s="5"/>
      <c r="L156" s="5">
        <v>37761.818181818184</v>
      </c>
      <c r="M156" s="6"/>
      <c r="N156" s="5">
        <v>167803.3825</v>
      </c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22.5" customHeight="1">
      <c r="A157" s="3">
        <v>45813.0</v>
      </c>
      <c r="B157" s="4">
        <v>5367.0</v>
      </c>
      <c r="C157" s="4"/>
      <c r="D157" s="4">
        <v>4919.0</v>
      </c>
      <c r="E157" s="4"/>
      <c r="F157" s="4">
        <v>4695.409090909091</v>
      </c>
      <c r="G157" s="4"/>
      <c r="H157" s="4">
        <v>4025.0</v>
      </c>
      <c r="I157" s="4"/>
      <c r="J157" s="4">
        <v>3130.0</v>
      </c>
      <c r="K157" s="5"/>
      <c r="L157" s="5">
        <v>37563.27272727273</v>
      </c>
      <c r="M157" s="6"/>
      <c r="N157" s="5">
        <v>166932.4845</v>
      </c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22.5" customHeight="1">
      <c r="A158" s="3">
        <v>45814.0</v>
      </c>
      <c r="B158" s="4">
        <v>5280.0</v>
      </c>
      <c r="C158" s="4"/>
      <c r="D158" s="4">
        <v>4840.0</v>
      </c>
      <c r="E158" s="4"/>
      <c r="F158" s="4">
        <v>4620.0</v>
      </c>
      <c r="G158" s="4"/>
      <c r="H158" s="4">
        <v>3960.0</v>
      </c>
      <c r="I158" s="4"/>
      <c r="J158" s="4">
        <v>3080.0</v>
      </c>
      <c r="K158" s="5"/>
      <c r="L158" s="5">
        <v>36960.0</v>
      </c>
      <c r="M158" s="6"/>
      <c r="N158" s="5">
        <v>164226.48</v>
      </c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22.5" customHeight="1">
      <c r="A159" s="3">
        <v>45815.0</v>
      </c>
      <c r="B159" s="4">
        <v>5280.0</v>
      </c>
      <c r="C159" s="4"/>
      <c r="D159" s="4">
        <v>4840.0</v>
      </c>
      <c r="E159" s="4"/>
      <c r="F159" s="4">
        <v>4620.0</v>
      </c>
      <c r="G159" s="4"/>
      <c r="H159" s="4">
        <v>3960.0</v>
      </c>
      <c r="I159" s="4"/>
      <c r="J159" s="4">
        <v>3080.0</v>
      </c>
      <c r="K159" s="5"/>
      <c r="L159" s="5">
        <v>36960.0</v>
      </c>
      <c r="M159" s="6"/>
      <c r="N159" s="5">
        <v>164226.48</v>
      </c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22.5" customHeight="1">
      <c r="A160" s="3">
        <v>45816.0</v>
      </c>
      <c r="B160" s="4">
        <v>5307.0</v>
      </c>
      <c r="C160" s="4"/>
      <c r="D160" s="4">
        <v>4865.0</v>
      </c>
      <c r="E160" s="4"/>
      <c r="F160" s="4">
        <v>4643.863636363637</v>
      </c>
      <c r="G160" s="4"/>
      <c r="H160" s="4">
        <v>3980.0</v>
      </c>
      <c r="I160" s="4"/>
      <c r="J160" s="4">
        <v>3096.0</v>
      </c>
      <c r="K160" s="5"/>
      <c r="L160" s="5">
        <v>37150.909090909096</v>
      </c>
      <c r="M160" s="6"/>
      <c r="N160" s="5">
        <v>165066.2745</v>
      </c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22.5" customHeight="1">
      <c r="A161" s="3">
        <v>45817.0</v>
      </c>
      <c r="B161" s="4">
        <v>5307.0</v>
      </c>
      <c r="C161" s="4"/>
      <c r="D161" s="4">
        <v>4865.0</v>
      </c>
      <c r="E161" s="4"/>
      <c r="F161" s="4">
        <v>4643.863636363637</v>
      </c>
      <c r="G161" s="4"/>
      <c r="H161" s="4">
        <v>3980.0</v>
      </c>
      <c r="I161" s="4"/>
      <c r="J161" s="4">
        <v>3096.0</v>
      </c>
      <c r="K161" s="5"/>
      <c r="L161" s="5">
        <v>37150.909090909096</v>
      </c>
      <c r="M161" s="6"/>
      <c r="N161" s="5">
        <v>165066.2745</v>
      </c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22.5" customHeight="1">
      <c r="A162" s="3">
        <v>45818.0</v>
      </c>
      <c r="B162" s="4">
        <v>5290.0</v>
      </c>
      <c r="C162" s="4"/>
      <c r="D162" s="4">
        <v>4850.0</v>
      </c>
      <c r="E162" s="4"/>
      <c r="F162" s="4">
        <v>4629.545454545455</v>
      </c>
      <c r="G162" s="4"/>
      <c r="H162" s="4">
        <v>3968.0</v>
      </c>
      <c r="I162" s="4"/>
      <c r="J162" s="4">
        <v>3086.0</v>
      </c>
      <c r="K162" s="5"/>
      <c r="L162" s="5">
        <v>37036.36363636364</v>
      </c>
      <c r="M162" s="6"/>
      <c r="N162" s="5">
        <v>164537.515</v>
      </c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22.5" customHeight="1">
      <c r="A163" s="3">
        <v>45819.0</v>
      </c>
      <c r="B163" s="4">
        <v>5355.0</v>
      </c>
      <c r="C163" s="4"/>
      <c r="D163" s="4">
        <v>4908.0</v>
      </c>
      <c r="E163" s="4"/>
      <c r="F163" s="4">
        <v>4684.909090909091</v>
      </c>
      <c r="G163" s="4"/>
      <c r="H163" s="4">
        <v>4016.0</v>
      </c>
      <c r="I163" s="4"/>
      <c r="J163" s="4">
        <v>3123.0</v>
      </c>
      <c r="K163" s="5"/>
      <c r="L163" s="5">
        <v>37479.27272727273</v>
      </c>
      <c r="M163" s="6"/>
      <c r="N163" s="5">
        <v>166559.2425</v>
      </c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22.5" customHeight="1">
      <c r="A164" s="3">
        <v>45820.0</v>
      </c>
      <c r="B164" s="4">
        <v>5413.0</v>
      </c>
      <c r="C164" s="4"/>
      <c r="D164" s="4">
        <v>4962.0</v>
      </c>
      <c r="E164" s="4"/>
      <c r="F164" s="4">
        <v>4736.454545454546</v>
      </c>
      <c r="G164" s="4"/>
      <c r="H164" s="4">
        <v>4060.0</v>
      </c>
      <c r="I164" s="4"/>
      <c r="J164" s="4">
        <v>3158.0</v>
      </c>
      <c r="K164" s="5"/>
      <c r="L164" s="5">
        <v>37891.63636363637</v>
      </c>
      <c r="M164" s="6"/>
      <c r="N164" s="5">
        <v>168363.2455</v>
      </c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22.5" customHeight="1">
      <c r="A165" s="3">
        <v>45821.0</v>
      </c>
      <c r="B165" s="4">
        <v>5488.0</v>
      </c>
      <c r="C165" s="4"/>
      <c r="D165" s="4">
        <v>5030.0</v>
      </c>
      <c r="E165" s="4"/>
      <c r="F165" s="4">
        <v>4801.363636363637</v>
      </c>
      <c r="G165" s="4"/>
      <c r="H165" s="4">
        <v>4116.0</v>
      </c>
      <c r="I165" s="4"/>
      <c r="J165" s="4">
        <v>3201.0</v>
      </c>
      <c r="K165" s="5"/>
      <c r="L165" s="5">
        <v>38410.909090909096</v>
      </c>
      <c r="M165" s="6"/>
      <c r="N165" s="5">
        <v>170696.008</v>
      </c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22.5" customHeight="1">
      <c r="A166" s="3">
        <v>45822.0</v>
      </c>
      <c r="B166" s="4">
        <v>5488.0</v>
      </c>
      <c r="C166" s="4"/>
      <c r="D166" s="4">
        <v>5030.0</v>
      </c>
      <c r="E166" s="4"/>
      <c r="F166" s="4">
        <v>4801.363636363637</v>
      </c>
      <c r="G166" s="4"/>
      <c r="H166" s="4">
        <v>4116.0</v>
      </c>
      <c r="I166" s="4"/>
      <c r="J166" s="4">
        <v>3201.0</v>
      </c>
      <c r="K166" s="5"/>
      <c r="L166" s="5">
        <v>38410.909090909096</v>
      </c>
      <c r="M166" s="6"/>
      <c r="N166" s="5">
        <v>170696.008</v>
      </c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22.5" customHeight="1">
      <c r="A167" s="3">
        <v>45823.0</v>
      </c>
      <c r="B167" s="4">
        <v>5475.0</v>
      </c>
      <c r="C167" s="4"/>
      <c r="D167" s="4">
        <v>5019.0</v>
      </c>
      <c r="E167" s="4"/>
      <c r="F167" s="4">
        <v>4790.863636363637</v>
      </c>
      <c r="G167" s="4"/>
      <c r="H167" s="4">
        <v>4106.0</v>
      </c>
      <c r="I167" s="4"/>
      <c r="J167" s="4">
        <v>3194.0</v>
      </c>
      <c r="K167" s="5"/>
      <c r="L167" s="5">
        <v>38326.909090909096</v>
      </c>
      <c r="M167" s="6"/>
      <c r="N167" s="5">
        <v>170291.6625</v>
      </c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22.5" customHeight="1">
      <c r="A168" s="3">
        <v>45824.0</v>
      </c>
      <c r="B168" s="4">
        <v>5475.0</v>
      </c>
      <c r="C168" s="4"/>
      <c r="D168" s="4">
        <v>5019.0</v>
      </c>
      <c r="E168" s="4"/>
      <c r="F168" s="4">
        <v>4790.863636363637</v>
      </c>
      <c r="G168" s="4"/>
      <c r="H168" s="4">
        <v>4106.0</v>
      </c>
      <c r="I168" s="4"/>
      <c r="J168" s="4">
        <v>3194.0</v>
      </c>
      <c r="K168" s="5"/>
      <c r="L168" s="5">
        <v>38326.909090909096</v>
      </c>
      <c r="M168" s="6"/>
      <c r="N168" s="5">
        <v>170291.6625</v>
      </c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22.5" customHeight="1">
      <c r="A169" s="3">
        <v>45825.0</v>
      </c>
      <c r="B169" s="4">
        <v>5470.0</v>
      </c>
      <c r="C169" s="4"/>
      <c r="D169" s="4">
        <v>5014.0</v>
      </c>
      <c r="E169" s="4"/>
      <c r="F169" s="4">
        <v>4786.090909090909</v>
      </c>
      <c r="G169" s="4"/>
      <c r="H169" s="4">
        <v>4102.0</v>
      </c>
      <c r="I169" s="4"/>
      <c r="J169" s="4">
        <v>3191.0</v>
      </c>
      <c r="K169" s="5"/>
      <c r="L169" s="5">
        <v>38288.72727272727</v>
      </c>
      <c r="M169" s="6"/>
      <c r="N169" s="5">
        <v>170136.145</v>
      </c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22.5" customHeight="1">
      <c r="A170" s="3">
        <v>45826.0</v>
      </c>
      <c r="B170" s="4">
        <v>5484.0</v>
      </c>
      <c r="C170" s="4"/>
      <c r="D170" s="4">
        <v>5027.0</v>
      </c>
      <c r="E170" s="4"/>
      <c r="F170" s="4">
        <v>4798.5</v>
      </c>
      <c r="G170" s="4"/>
      <c r="H170" s="4">
        <v>4113.0</v>
      </c>
      <c r="I170" s="4"/>
      <c r="J170" s="4">
        <v>3199.0</v>
      </c>
      <c r="K170" s="5"/>
      <c r="L170" s="5">
        <v>38388.0</v>
      </c>
      <c r="M170" s="6"/>
      <c r="N170" s="5">
        <v>170571.594</v>
      </c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22.5" customHeight="1">
      <c r="A171" s="3">
        <v>45827.0</v>
      </c>
      <c r="B171" s="4">
        <v>5485.0</v>
      </c>
      <c r="C171" s="4"/>
      <c r="D171" s="4">
        <v>5028.0</v>
      </c>
      <c r="E171" s="4"/>
      <c r="F171" s="4">
        <v>4799.454545454546</v>
      </c>
      <c r="G171" s="4"/>
      <c r="H171" s="4">
        <v>4114.0</v>
      </c>
      <c r="I171" s="4"/>
      <c r="J171" s="4">
        <v>3199.0</v>
      </c>
      <c r="K171" s="5"/>
      <c r="L171" s="5">
        <v>38395.63636363637</v>
      </c>
      <c r="M171" s="6"/>
      <c r="N171" s="5">
        <v>170602.6975</v>
      </c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22.5" customHeight="1">
      <c r="A172" s="3">
        <v>45828.0</v>
      </c>
      <c r="B172" s="4">
        <v>5480.0</v>
      </c>
      <c r="C172" s="4"/>
      <c r="D172" s="4">
        <v>5023.0</v>
      </c>
      <c r="E172" s="4"/>
      <c r="F172" s="4">
        <v>4794.681818181818</v>
      </c>
      <c r="G172" s="4"/>
      <c r="H172" s="4">
        <v>4110.0</v>
      </c>
      <c r="I172" s="4"/>
      <c r="J172" s="4">
        <v>3197.0</v>
      </c>
      <c r="K172" s="5"/>
      <c r="L172" s="5">
        <v>38357.454545454544</v>
      </c>
      <c r="M172" s="6"/>
      <c r="N172" s="5">
        <v>170447.18</v>
      </c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22.5" customHeight="1">
      <c r="A173" s="3">
        <v>45829.0</v>
      </c>
      <c r="B173" s="4">
        <v>5480.0</v>
      </c>
      <c r="C173" s="4"/>
      <c r="D173" s="4">
        <v>5023.0</v>
      </c>
      <c r="E173" s="4"/>
      <c r="F173" s="4">
        <v>4794.681818181818</v>
      </c>
      <c r="G173" s="4"/>
      <c r="H173" s="4">
        <v>4110.0</v>
      </c>
      <c r="I173" s="4"/>
      <c r="J173" s="4">
        <v>3197.0</v>
      </c>
      <c r="K173" s="5"/>
      <c r="L173" s="5">
        <v>38357.454545454544</v>
      </c>
      <c r="M173" s="6"/>
      <c r="N173" s="5">
        <v>170447.18</v>
      </c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22.5" customHeight="1">
      <c r="A174" s="3">
        <v>45830.0</v>
      </c>
      <c r="B174" s="4">
        <v>5469.0</v>
      </c>
      <c r="C174" s="4"/>
      <c r="D174" s="4">
        <v>5013.0</v>
      </c>
      <c r="E174" s="4"/>
      <c r="F174" s="4">
        <v>4785.136363636364</v>
      </c>
      <c r="G174" s="4"/>
      <c r="H174" s="4">
        <v>4102.0</v>
      </c>
      <c r="I174" s="4"/>
      <c r="J174" s="4">
        <v>3190.0</v>
      </c>
      <c r="K174" s="5"/>
      <c r="L174" s="5">
        <v>38281.09090909091</v>
      </c>
      <c r="M174" s="6"/>
      <c r="N174" s="5">
        <v>170105.0415</v>
      </c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22.5" customHeight="1">
      <c r="A175" s="3">
        <v>45831.0</v>
      </c>
      <c r="B175" s="4">
        <v>5469.0</v>
      </c>
      <c r="C175" s="4"/>
      <c r="D175" s="4">
        <v>5013.0</v>
      </c>
      <c r="E175" s="4"/>
      <c r="F175" s="4">
        <v>4785.136363636364</v>
      </c>
      <c r="G175" s="4"/>
      <c r="H175" s="4">
        <v>4102.0</v>
      </c>
      <c r="I175" s="4"/>
      <c r="J175" s="4">
        <v>3190.0</v>
      </c>
      <c r="K175" s="5"/>
      <c r="L175" s="5">
        <v>38281.09090909091</v>
      </c>
      <c r="M175" s="6"/>
      <c r="N175" s="5">
        <v>170105.0415</v>
      </c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22.5" customHeight="1">
      <c r="A176" s="3">
        <v>45832.0</v>
      </c>
      <c r="B176" s="4">
        <v>5347.0</v>
      </c>
      <c r="C176" s="4"/>
      <c r="D176" s="4">
        <v>4901.0</v>
      </c>
      <c r="E176" s="4"/>
      <c r="F176" s="4">
        <v>4678.227272727273</v>
      </c>
      <c r="G176" s="4"/>
      <c r="H176" s="4">
        <v>4010.0</v>
      </c>
      <c r="I176" s="4"/>
      <c r="J176" s="4">
        <v>3119.0</v>
      </c>
      <c r="K176" s="5"/>
      <c r="L176" s="5">
        <v>37425.818181818184</v>
      </c>
      <c r="M176" s="6"/>
      <c r="N176" s="5">
        <v>166310.4145</v>
      </c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22.5" customHeight="1">
      <c r="A177" s="3">
        <v>45833.0</v>
      </c>
      <c r="B177" s="4">
        <v>5345.0</v>
      </c>
      <c r="C177" s="4"/>
      <c r="D177" s="4">
        <v>4900.0</v>
      </c>
      <c r="E177" s="4"/>
      <c r="F177" s="4">
        <v>4677.272727272727</v>
      </c>
      <c r="G177" s="4"/>
      <c r="H177" s="4">
        <v>4009.0</v>
      </c>
      <c r="I177" s="4"/>
      <c r="J177" s="4">
        <v>3118.0</v>
      </c>
      <c r="K177" s="5"/>
      <c r="L177" s="5">
        <v>37418.181818181816</v>
      </c>
      <c r="M177" s="6"/>
      <c r="N177" s="5">
        <v>166248.2075</v>
      </c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22.5" customHeight="1">
      <c r="A178" s="3">
        <v>45834.0</v>
      </c>
      <c r="B178" s="4">
        <v>5331.0</v>
      </c>
      <c r="C178" s="4"/>
      <c r="D178" s="4">
        <v>4886.0</v>
      </c>
      <c r="E178" s="4"/>
      <c r="F178" s="4">
        <v>4663.909090909091</v>
      </c>
      <c r="G178" s="4"/>
      <c r="H178" s="4">
        <v>3998.0</v>
      </c>
      <c r="I178" s="4"/>
      <c r="J178" s="4">
        <v>3110.0</v>
      </c>
      <c r="K178" s="5"/>
      <c r="L178" s="5">
        <v>37311.27272727273</v>
      </c>
      <c r="M178" s="6"/>
      <c r="N178" s="5">
        <v>165812.7585</v>
      </c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22.5" customHeight="1">
      <c r="A179" s="3">
        <v>45835.0</v>
      </c>
      <c r="B179" s="4">
        <v>5249.0</v>
      </c>
      <c r="C179" s="4"/>
      <c r="D179" s="4">
        <v>4812.0</v>
      </c>
      <c r="E179" s="4"/>
      <c r="F179" s="4">
        <v>4593.272727272727</v>
      </c>
      <c r="G179" s="4"/>
      <c r="H179" s="4">
        <v>3937.0</v>
      </c>
      <c r="I179" s="4"/>
      <c r="J179" s="4">
        <v>3062.0</v>
      </c>
      <c r="K179" s="5"/>
      <c r="L179" s="5">
        <v>36746.181818181816</v>
      </c>
      <c r="M179" s="6"/>
      <c r="N179" s="5">
        <v>163262.2715</v>
      </c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22.5" customHeight="1">
      <c r="A180" s="3">
        <v>45836.0</v>
      </c>
      <c r="B180" s="4">
        <v>5249.0</v>
      </c>
      <c r="C180" s="4"/>
      <c r="D180" s="4">
        <v>4812.0</v>
      </c>
      <c r="E180" s="4"/>
      <c r="F180" s="4">
        <v>4593.272727272727</v>
      </c>
      <c r="G180" s="4"/>
      <c r="H180" s="4">
        <v>3937.0</v>
      </c>
      <c r="I180" s="4"/>
      <c r="J180" s="4">
        <v>3062.0</v>
      </c>
      <c r="K180" s="5"/>
      <c r="L180" s="5">
        <v>36746.181818181816</v>
      </c>
      <c r="M180" s="6"/>
      <c r="N180" s="5">
        <v>163262.2715</v>
      </c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22.5" customHeight="1">
      <c r="A181" s="3">
        <v>45837.0</v>
      </c>
      <c r="B181" s="4">
        <v>5274.0</v>
      </c>
      <c r="C181" s="4"/>
      <c r="D181" s="4">
        <v>4834.0</v>
      </c>
      <c r="E181" s="4"/>
      <c r="F181" s="4">
        <v>4614.272727272727</v>
      </c>
      <c r="G181" s="4"/>
      <c r="H181" s="4">
        <v>3955.0</v>
      </c>
      <c r="I181" s="4"/>
      <c r="J181" s="4">
        <v>3076.0</v>
      </c>
      <c r="K181" s="5"/>
      <c r="L181" s="5">
        <v>36914.181818181816</v>
      </c>
      <c r="M181" s="6"/>
      <c r="N181" s="5">
        <v>164039.859</v>
      </c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22.5" customHeight="1">
      <c r="A182" s="3">
        <v>45838.0</v>
      </c>
      <c r="B182" s="4">
        <v>5274.0</v>
      </c>
      <c r="C182" s="4"/>
      <c r="D182" s="4">
        <v>4834.0</v>
      </c>
      <c r="E182" s="4"/>
      <c r="F182" s="4">
        <v>4614.272727272727</v>
      </c>
      <c r="G182" s="4"/>
      <c r="H182" s="4">
        <v>3955.0</v>
      </c>
      <c r="I182" s="4"/>
      <c r="J182" s="4">
        <v>3076.0</v>
      </c>
      <c r="K182" s="5"/>
      <c r="L182" s="5">
        <v>36914.181818181816</v>
      </c>
      <c r="M182" s="6"/>
      <c r="N182" s="5">
        <v>164039.859</v>
      </c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22.5" customHeight="1">
      <c r="A183" s="3">
        <v>45839.0</v>
      </c>
      <c r="B183" s="4">
        <v>5312.0</v>
      </c>
      <c r="C183" s="4"/>
      <c r="D183" s="4">
        <v>4869.0</v>
      </c>
      <c r="E183" s="4"/>
      <c r="F183" s="4">
        <v>4647.681818181818</v>
      </c>
      <c r="G183" s="4"/>
      <c r="H183" s="4">
        <v>3984.0</v>
      </c>
      <c r="I183" s="4"/>
      <c r="J183" s="4">
        <v>3099.0</v>
      </c>
      <c r="K183" s="5"/>
      <c r="L183" s="5">
        <v>37181.454545454544</v>
      </c>
      <c r="M183" s="6"/>
      <c r="N183" s="5">
        <v>165221.79200000002</v>
      </c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22.5" customHeight="1">
      <c r="A184" s="3">
        <v>45840.0</v>
      </c>
      <c r="B184" s="4">
        <v>5338.0</v>
      </c>
      <c r="C184" s="4"/>
      <c r="D184" s="4">
        <v>4893.0</v>
      </c>
      <c r="E184" s="4"/>
      <c r="F184" s="4">
        <v>4670.590909090909</v>
      </c>
      <c r="G184" s="4"/>
      <c r="H184" s="4">
        <v>4003.0</v>
      </c>
      <c r="I184" s="4"/>
      <c r="J184" s="4">
        <v>3114.0</v>
      </c>
      <c r="K184" s="5"/>
      <c r="L184" s="5">
        <v>37364.72727272727</v>
      </c>
      <c r="M184" s="6"/>
      <c r="N184" s="5">
        <v>166030.483</v>
      </c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22.5" customHeight="1">
      <c r="A185" s="3">
        <v>45841.0</v>
      </c>
      <c r="B185" s="4">
        <v>5276.0</v>
      </c>
      <c r="C185" s="4"/>
      <c r="D185" s="4">
        <v>4836.0</v>
      </c>
      <c r="E185" s="4"/>
      <c r="F185" s="4">
        <v>4616.181818181818</v>
      </c>
      <c r="G185" s="4"/>
      <c r="H185" s="4">
        <v>3957.0</v>
      </c>
      <c r="I185" s="4"/>
      <c r="J185" s="4">
        <v>3078.0</v>
      </c>
      <c r="K185" s="5"/>
      <c r="L185" s="5">
        <v>36929.454545454544</v>
      </c>
      <c r="M185" s="6"/>
      <c r="N185" s="5">
        <v>164102.066</v>
      </c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22.5" customHeight="1">
      <c r="A186" s="3">
        <v>45842.0</v>
      </c>
      <c r="B186" s="4">
        <v>5284.0</v>
      </c>
      <c r="C186" s="4"/>
      <c r="D186" s="4">
        <v>4844.0</v>
      </c>
      <c r="E186" s="4"/>
      <c r="F186" s="4">
        <v>4623.818181818182</v>
      </c>
      <c r="G186" s="4"/>
      <c r="H186" s="4">
        <v>3963.0</v>
      </c>
      <c r="I186" s="4"/>
      <c r="J186" s="4">
        <v>3083.0</v>
      </c>
      <c r="K186" s="5"/>
      <c r="L186" s="5">
        <v>36990.545454545456</v>
      </c>
      <c r="M186" s="6"/>
      <c r="N186" s="5">
        <v>164350.894</v>
      </c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22.5" customHeight="1">
      <c r="A187" s="3">
        <v>45843.0</v>
      </c>
      <c r="B187" s="4">
        <v>5284.0</v>
      </c>
      <c r="C187" s="4"/>
      <c r="D187" s="4">
        <v>4844.0</v>
      </c>
      <c r="E187" s="4"/>
      <c r="F187" s="4">
        <v>4623.818181818182</v>
      </c>
      <c r="G187" s="4"/>
      <c r="H187" s="4">
        <v>3963.0</v>
      </c>
      <c r="I187" s="4"/>
      <c r="J187" s="4">
        <v>3083.0</v>
      </c>
      <c r="K187" s="5"/>
      <c r="L187" s="5">
        <v>36990.545454545456</v>
      </c>
      <c r="M187" s="6"/>
      <c r="N187" s="5">
        <v>164350.894</v>
      </c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22.5" customHeight="1">
      <c r="A188" s="3">
        <v>45844.0</v>
      </c>
      <c r="B188" s="4">
        <v>5338.0</v>
      </c>
      <c r="C188" s="4"/>
      <c r="D188" s="4">
        <v>4893.0</v>
      </c>
      <c r="E188" s="4"/>
      <c r="F188" s="4">
        <v>4670.590909090909</v>
      </c>
      <c r="G188" s="4"/>
      <c r="H188" s="4">
        <v>4004.0</v>
      </c>
      <c r="I188" s="4"/>
      <c r="J188" s="4">
        <v>3114.0</v>
      </c>
      <c r="K188" s="5"/>
      <c r="L188" s="5">
        <v>37364.72727272727</v>
      </c>
      <c r="M188" s="6"/>
      <c r="N188" s="5">
        <v>166030.483</v>
      </c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22.5" customHeight="1">
      <c r="A189" s="3">
        <v>45845.0</v>
      </c>
      <c r="B189" s="4">
        <v>5338.0</v>
      </c>
      <c r="C189" s="4"/>
      <c r="D189" s="4">
        <v>4893.0</v>
      </c>
      <c r="E189" s="4"/>
      <c r="F189" s="4">
        <v>4670.590909090909</v>
      </c>
      <c r="G189" s="4"/>
      <c r="H189" s="4">
        <v>4004.0</v>
      </c>
      <c r="I189" s="4"/>
      <c r="J189" s="4">
        <v>3114.0</v>
      </c>
      <c r="K189" s="5"/>
      <c r="L189" s="5">
        <v>37364.72727272727</v>
      </c>
      <c r="M189" s="6"/>
      <c r="N189" s="5">
        <v>166030.483</v>
      </c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22.5" customHeight="1">
      <c r="A190" s="3">
        <v>45846.0</v>
      </c>
      <c r="B190" s="4">
        <v>5272.0</v>
      </c>
      <c r="C190" s="4"/>
      <c r="D190" s="4">
        <v>4833.0</v>
      </c>
      <c r="E190" s="4"/>
      <c r="F190" s="4">
        <v>4613.318181818182</v>
      </c>
      <c r="G190" s="4"/>
      <c r="H190" s="4">
        <v>3954.0</v>
      </c>
      <c r="I190" s="4"/>
      <c r="J190" s="4">
        <v>3076.0</v>
      </c>
      <c r="K190" s="5"/>
      <c r="L190" s="5">
        <v>36906.545454545456</v>
      </c>
      <c r="M190" s="6"/>
      <c r="N190" s="5">
        <v>163977.652</v>
      </c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22.5" customHeight="1">
      <c r="A191" s="3">
        <v>45847.0</v>
      </c>
      <c r="B191" s="4">
        <v>5296.0</v>
      </c>
      <c r="C191" s="4"/>
      <c r="D191" s="4">
        <v>4854.0</v>
      </c>
      <c r="E191" s="4"/>
      <c r="F191" s="4">
        <v>4633.363636363637</v>
      </c>
      <c r="G191" s="4"/>
      <c r="H191" s="4">
        <v>3972.0</v>
      </c>
      <c r="I191" s="4"/>
      <c r="J191" s="4">
        <v>3089.0</v>
      </c>
      <c r="K191" s="5"/>
      <c r="L191" s="5">
        <v>37066.909090909096</v>
      </c>
      <c r="M191" s="6"/>
      <c r="N191" s="5">
        <v>164724.136</v>
      </c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22.5" customHeight="1">
      <c r="A192" s="3">
        <v>45848.0</v>
      </c>
      <c r="B192" s="4">
        <v>5294.0</v>
      </c>
      <c r="C192" s="4"/>
      <c r="D192" s="4">
        <v>4852.0</v>
      </c>
      <c r="E192" s="4"/>
      <c r="F192" s="4">
        <v>4631.454545454546</v>
      </c>
      <c r="G192" s="4"/>
      <c r="H192" s="4">
        <v>3970.0</v>
      </c>
      <c r="I192" s="4"/>
      <c r="J192" s="4">
        <v>3088.0</v>
      </c>
      <c r="K192" s="5"/>
      <c r="L192" s="5">
        <v>37051.63636363637</v>
      </c>
      <c r="M192" s="6"/>
      <c r="N192" s="5">
        <v>164661.929</v>
      </c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22.5" customHeight="1">
      <c r="A193" s="3">
        <v>45849.0</v>
      </c>
      <c r="B193" s="4">
        <v>5340.0</v>
      </c>
      <c r="C193" s="4"/>
      <c r="D193" s="4">
        <v>4895.0</v>
      </c>
      <c r="E193" s="4"/>
      <c r="F193" s="4">
        <v>4672.5</v>
      </c>
      <c r="G193" s="4"/>
      <c r="H193" s="4">
        <v>4005.0</v>
      </c>
      <c r="I193" s="4"/>
      <c r="J193" s="4">
        <v>3115.0</v>
      </c>
      <c r="K193" s="5"/>
      <c r="L193" s="5">
        <v>37380.0</v>
      </c>
      <c r="M193" s="6"/>
      <c r="N193" s="5">
        <v>166092.69</v>
      </c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22.5" customHeight="1">
      <c r="A194" s="3">
        <v>45850.0</v>
      </c>
      <c r="B194" s="4">
        <v>5340.0</v>
      </c>
      <c r="C194" s="4"/>
      <c r="D194" s="4">
        <v>4895.0</v>
      </c>
      <c r="E194" s="4"/>
      <c r="F194" s="4">
        <v>4672.5</v>
      </c>
      <c r="G194" s="4"/>
      <c r="H194" s="4">
        <v>4005.0</v>
      </c>
      <c r="I194" s="4"/>
      <c r="J194" s="4">
        <v>3115.0</v>
      </c>
      <c r="K194" s="5"/>
      <c r="L194" s="5">
        <v>37380.0</v>
      </c>
      <c r="M194" s="6"/>
      <c r="N194" s="5">
        <v>166092.69</v>
      </c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22.5" customHeight="1">
      <c r="A195" s="3">
        <v>45851.0</v>
      </c>
      <c r="B195" s="4">
        <v>5317.0</v>
      </c>
      <c r="C195" s="4"/>
      <c r="D195" s="4">
        <v>4874.0</v>
      </c>
      <c r="E195" s="4"/>
      <c r="F195" s="4">
        <v>4652.454545454546</v>
      </c>
      <c r="G195" s="4"/>
      <c r="H195" s="4">
        <v>3988.0</v>
      </c>
      <c r="I195" s="4"/>
      <c r="J195" s="4">
        <v>3102.0</v>
      </c>
      <c r="K195" s="5"/>
      <c r="L195" s="5">
        <v>37219.63636363637</v>
      </c>
      <c r="M195" s="6"/>
      <c r="N195" s="5">
        <v>165377.3095</v>
      </c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22.5" customHeight="1">
      <c r="A196" s="3">
        <v>45852.0</v>
      </c>
      <c r="B196" s="4">
        <v>5317.0</v>
      </c>
      <c r="C196" s="4"/>
      <c r="D196" s="4">
        <v>4874.0</v>
      </c>
      <c r="E196" s="4"/>
      <c r="F196" s="4">
        <v>4652.454545454546</v>
      </c>
      <c r="G196" s="4"/>
      <c r="H196" s="4">
        <v>3988.0</v>
      </c>
      <c r="I196" s="4"/>
      <c r="J196" s="4">
        <v>3102.0</v>
      </c>
      <c r="K196" s="5"/>
      <c r="L196" s="5">
        <v>37219.63636363637</v>
      </c>
      <c r="M196" s="6"/>
      <c r="N196" s="5">
        <v>165377.3095</v>
      </c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22.5" customHeight="1">
      <c r="A197" s="3">
        <v>45853.0</v>
      </c>
      <c r="B197" s="4">
        <v>5285.0</v>
      </c>
      <c r="C197" s="4"/>
      <c r="D197" s="4">
        <v>4844.0</v>
      </c>
      <c r="E197" s="4"/>
      <c r="F197" s="4">
        <v>4623.818181818182</v>
      </c>
      <c r="G197" s="4"/>
      <c r="H197" s="4">
        <v>3963.0</v>
      </c>
      <c r="I197" s="4"/>
      <c r="J197" s="4">
        <v>3083.0</v>
      </c>
      <c r="K197" s="5"/>
      <c r="L197" s="5">
        <v>36990.545454545456</v>
      </c>
      <c r="M197" s="6"/>
      <c r="N197" s="5">
        <v>164381.9975</v>
      </c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22.5" customHeight="1">
      <c r="A198" s="3">
        <v>45854.0</v>
      </c>
      <c r="B198" s="4">
        <v>5326.0</v>
      </c>
      <c r="C198" s="4"/>
      <c r="D198" s="4">
        <v>4882.0</v>
      </c>
      <c r="E198" s="4"/>
      <c r="F198" s="4">
        <v>4660.090909090909</v>
      </c>
      <c r="G198" s="4"/>
      <c r="H198" s="4">
        <v>3994.0</v>
      </c>
      <c r="I198" s="4"/>
      <c r="J198" s="4">
        <v>3107.0</v>
      </c>
      <c r="K198" s="5"/>
      <c r="L198" s="5">
        <v>37280.72727272727</v>
      </c>
      <c r="M198" s="6"/>
      <c r="N198" s="5">
        <v>165657.241</v>
      </c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22.5" customHeight="1">
      <c r="A199" s="3">
        <v>45855.0</v>
      </c>
      <c r="B199" s="4">
        <v>5304.0</v>
      </c>
      <c r="C199" s="4"/>
      <c r="D199" s="4">
        <v>4862.0</v>
      </c>
      <c r="E199" s="4"/>
      <c r="F199" s="4">
        <v>4641.0</v>
      </c>
      <c r="G199" s="4"/>
      <c r="H199" s="4">
        <v>3978.0</v>
      </c>
      <c r="I199" s="4"/>
      <c r="J199" s="4">
        <v>3094.0</v>
      </c>
      <c r="K199" s="5"/>
      <c r="L199" s="5">
        <v>37128.0</v>
      </c>
      <c r="M199" s="6"/>
      <c r="N199" s="5">
        <v>164972.964</v>
      </c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22.5" customHeight="1">
      <c r="A200" s="3">
        <v>45856.0</v>
      </c>
      <c r="B200" s="4">
        <v>5325.0</v>
      </c>
      <c r="C200" s="4"/>
      <c r="D200" s="4">
        <v>4881.0</v>
      </c>
      <c r="E200" s="4"/>
      <c r="F200" s="4">
        <v>4659.136363636364</v>
      </c>
      <c r="G200" s="4"/>
      <c r="H200" s="4">
        <v>3993.0</v>
      </c>
      <c r="I200" s="4"/>
      <c r="J200" s="4">
        <v>3106.0</v>
      </c>
      <c r="K200" s="5"/>
      <c r="L200" s="5">
        <v>37273.09090909091</v>
      </c>
      <c r="M200" s="6"/>
      <c r="N200" s="5">
        <v>165626.1375</v>
      </c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22.5" customHeight="1">
      <c r="A201" s="3">
        <v>45857.0</v>
      </c>
      <c r="B201" s="4">
        <v>5325.0</v>
      </c>
      <c r="C201" s="4"/>
      <c r="D201" s="4">
        <v>4881.0</v>
      </c>
      <c r="E201" s="4"/>
      <c r="F201" s="4">
        <v>4659.136363636364</v>
      </c>
      <c r="G201" s="4"/>
      <c r="H201" s="4">
        <v>3993.0</v>
      </c>
      <c r="I201" s="4"/>
      <c r="J201" s="4">
        <v>3106.0</v>
      </c>
      <c r="K201" s="5"/>
      <c r="L201" s="5">
        <v>37273.09090909091</v>
      </c>
      <c r="M201" s="6"/>
      <c r="N201" s="5">
        <v>165626.1375</v>
      </c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22.5" customHeight="1">
      <c r="A202" s="3">
        <v>45858.0</v>
      </c>
      <c r="B202" s="4">
        <v>5384.0</v>
      </c>
      <c r="C202" s="4"/>
      <c r="D202" s="4">
        <v>4935.0</v>
      </c>
      <c r="E202" s="4"/>
      <c r="F202" s="4">
        <v>4710.681818181818</v>
      </c>
      <c r="G202" s="4"/>
      <c r="H202" s="4">
        <v>4038.0</v>
      </c>
      <c r="I202" s="4"/>
      <c r="J202" s="4">
        <v>3140.0</v>
      </c>
      <c r="K202" s="5"/>
      <c r="L202" s="5">
        <v>37685.454545454544</v>
      </c>
      <c r="M202" s="6"/>
      <c r="N202" s="5">
        <v>167461.244</v>
      </c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22.5" customHeight="1">
      <c r="A203" s="3">
        <v>45859.0</v>
      </c>
      <c r="B203" s="4">
        <v>5384.0</v>
      </c>
      <c r="C203" s="4"/>
      <c r="D203" s="4">
        <v>4935.0</v>
      </c>
      <c r="E203" s="4"/>
      <c r="F203" s="4">
        <v>4710.681818181818</v>
      </c>
      <c r="G203" s="4"/>
      <c r="H203" s="4">
        <v>4038.0</v>
      </c>
      <c r="I203" s="4"/>
      <c r="J203" s="4">
        <v>3140.0</v>
      </c>
      <c r="K203" s="5"/>
      <c r="L203" s="5">
        <v>37685.454545454544</v>
      </c>
      <c r="M203" s="6"/>
      <c r="N203" s="5">
        <v>167461.244</v>
      </c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22.5" customHeight="1">
      <c r="A204" s="3">
        <v>45860.0</v>
      </c>
      <c r="B204" s="4">
        <v>5410.0</v>
      </c>
      <c r="C204" s="4"/>
      <c r="D204" s="4">
        <v>4959.0</v>
      </c>
      <c r="E204" s="4"/>
      <c r="F204" s="4">
        <v>4733.590909090909</v>
      </c>
      <c r="G204" s="4"/>
      <c r="H204" s="4">
        <v>4058.0</v>
      </c>
      <c r="I204" s="4"/>
      <c r="J204" s="4">
        <v>3156.0</v>
      </c>
      <c r="K204" s="5"/>
      <c r="L204" s="5">
        <v>37868.72727272727</v>
      </c>
      <c r="M204" s="6"/>
      <c r="N204" s="5">
        <v>168269.935</v>
      </c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22.5" customHeight="1">
      <c r="A205" s="3">
        <v>45861.0</v>
      </c>
      <c r="B205" s="4">
        <v>5348.0</v>
      </c>
      <c r="C205" s="4"/>
      <c r="D205" s="4">
        <v>4902.0</v>
      </c>
      <c r="E205" s="4"/>
      <c r="F205" s="4">
        <v>4679.181818181818</v>
      </c>
      <c r="G205" s="4"/>
      <c r="H205" s="4">
        <v>4011.0</v>
      </c>
      <c r="I205" s="4"/>
      <c r="J205" s="4">
        <v>3120.0</v>
      </c>
      <c r="K205" s="5"/>
      <c r="L205" s="5">
        <v>37433.454545454544</v>
      </c>
      <c r="M205" s="6"/>
      <c r="N205" s="5">
        <v>166341.518</v>
      </c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22.5" customHeight="1">
      <c r="A206" s="3">
        <v>45862.0</v>
      </c>
      <c r="B206" s="4">
        <v>5309.0</v>
      </c>
      <c r="C206" s="4"/>
      <c r="D206" s="4">
        <v>4867.0</v>
      </c>
      <c r="E206" s="4"/>
      <c r="F206" s="4">
        <v>4645.772727272727</v>
      </c>
      <c r="G206" s="4"/>
      <c r="H206" s="4">
        <v>3982.0</v>
      </c>
      <c r="I206" s="4"/>
      <c r="J206" s="4">
        <v>3097.0</v>
      </c>
      <c r="K206" s="5"/>
      <c r="L206" s="5">
        <v>37166.181818181816</v>
      </c>
      <c r="M206" s="6"/>
      <c r="N206" s="5">
        <v>165128.4815</v>
      </c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22.5" customHeight="1">
      <c r="A207" s="3">
        <v>45863.0</v>
      </c>
      <c r="B207" s="4">
        <v>5268.0</v>
      </c>
      <c r="C207" s="4"/>
      <c r="D207" s="4">
        <v>4829.0</v>
      </c>
      <c r="E207" s="4"/>
      <c r="F207" s="4">
        <v>4609.5</v>
      </c>
      <c r="G207" s="4"/>
      <c r="H207" s="4">
        <v>3951.0</v>
      </c>
      <c r="I207" s="4"/>
      <c r="J207" s="4">
        <v>3073.0</v>
      </c>
      <c r="K207" s="5"/>
      <c r="L207" s="5">
        <v>36876.0</v>
      </c>
      <c r="M207" s="6"/>
      <c r="N207" s="5">
        <v>163853.238</v>
      </c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22.5" customHeight="1">
      <c r="A208" s="3">
        <v>45864.0</v>
      </c>
      <c r="B208" s="4">
        <v>5268.0</v>
      </c>
      <c r="C208" s="4"/>
      <c r="D208" s="4">
        <v>4829.0</v>
      </c>
      <c r="E208" s="4"/>
      <c r="F208" s="4">
        <v>4609.5</v>
      </c>
      <c r="G208" s="4"/>
      <c r="H208" s="4">
        <v>3951.0</v>
      </c>
      <c r="I208" s="4"/>
      <c r="J208" s="4">
        <v>3073.0</v>
      </c>
      <c r="K208" s="5"/>
      <c r="L208" s="5">
        <v>36876.0</v>
      </c>
      <c r="M208" s="6"/>
      <c r="N208" s="5">
        <v>163853.238</v>
      </c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22.5" customHeight="1">
      <c r="A209" s="3">
        <v>45865.0</v>
      </c>
      <c r="B209" s="4">
        <v>5196.0</v>
      </c>
      <c r="C209" s="4"/>
      <c r="D209" s="4">
        <v>4763.0</v>
      </c>
      <c r="E209" s="4"/>
      <c r="F209" s="4">
        <v>4546.5</v>
      </c>
      <c r="G209" s="4"/>
      <c r="H209" s="4">
        <v>3897.0</v>
      </c>
      <c r="I209" s="4"/>
      <c r="J209" s="4">
        <v>3031.0</v>
      </c>
      <c r="K209" s="5"/>
      <c r="L209" s="5">
        <v>36372.0</v>
      </c>
      <c r="M209" s="6"/>
      <c r="N209" s="5">
        <v>161613.786</v>
      </c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22.5" customHeight="1">
      <c r="A210" s="3">
        <v>45866.0</v>
      </c>
      <c r="B210" s="4">
        <v>5196.0</v>
      </c>
      <c r="C210" s="4"/>
      <c r="D210" s="4">
        <v>4763.0</v>
      </c>
      <c r="E210" s="4"/>
      <c r="F210" s="4">
        <v>4546.5</v>
      </c>
      <c r="G210" s="4"/>
      <c r="H210" s="4">
        <v>3897.0</v>
      </c>
      <c r="I210" s="4"/>
      <c r="J210" s="4">
        <v>3031.0</v>
      </c>
      <c r="K210" s="5"/>
      <c r="L210" s="5">
        <v>36372.0</v>
      </c>
      <c r="M210" s="6"/>
      <c r="N210" s="5">
        <v>161613.786</v>
      </c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22.5" customHeight="1">
      <c r="A211" s="3">
        <v>45867.0</v>
      </c>
      <c r="B211" s="4">
        <v>5206.0</v>
      </c>
      <c r="C211" s="4"/>
      <c r="D211" s="4">
        <v>4773.0</v>
      </c>
      <c r="E211" s="4"/>
      <c r="F211" s="4">
        <v>4556.045454545455</v>
      </c>
      <c r="G211" s="4"/>
      <c r="H211" s="4">
        <v>3905.0</v>
      </c>
      <c r="I211" s="4"/>
      <c r="J211" s="4">
        <v>3037.0</v>
      </c>
      <c r="K211" s="5"/>
      <c r="L211" s="5">
        <v>36448.36363636364</v>
      </c>
      <c r="M211" s="6"/>
      <c r="N211" s="5">
        <v>161924.821</v>
      </c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22.5" customHeight="1">
      <c r="A212" s="3">
        <v>45868.0</v>
      </c>
      <c r="B212" s="4">
        <v>5134.0</v>
      </c>
      <c r="C212" s="4"/>
      <c r="D212" s="4">
        <v>4706.0</v>
      </c>
      <c r="E212" s="4"/>
      <c r="F212" s="4">
        <v>4492.090909090909</v>
      </c>
      <c r="G212" s="4"/>
      <c r="H212" s="4">
        <v>3851.0</v>
      </c>
      <c r="I212" s="4"/>
      <c r="J212" s="4">
        <v>2995.0</v>
      </c>
      <c r="K212" s="5"/>
      <c r="L212" s="5">
        <v>35936.72727272727</v>
      </c>
      <c r="M212" s="6"/>
      <c r="N212" s="5">
        <v>159685.369</v>
      </c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22.5" customHeight="1">
      <c r="A213" s="3">
        <v>45869.0</v>
      </c>
      <c r="B213" s="4">
        <v>5143.0</v>
      </c>
      <c r="C213" s="4"/>
      <c r="D213" s="4">
        <v>4714.0</v>
      </c>
      <c r="E213" s="4"/>
      <c r="F213" s="4">
        <v>4499.727272727273</v>
      </c>
      <c r="G213" s="4"/>
      <c r="H213" s="4">
        <v>3857.0</v>
      </c>
      <c r="I213" s="4"/>
      <c r="J213" s="4">
        <v>3000.0</v>
      </c>
      <c r="K213" s="5"/>
      <c r="L213" s="5">
        <v>35997.818181818184</v>
      </c>
      <c r="M213" s="6"/>
      <c r="N213" s="5">
        <v>159965.3005</v>
      </c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22.5" customHeight="1">
      <c r="A214" s="3">
        <v>45870.0</v>
      </c>
      <c r="B214" s="4">
        <v>5262.0</v>
      </c>
      <c r="C214" s="4"/>
      <c r="D214" s="4">
        <v>4824.0</v>
      </c>
      <c r="E214" s="4"/>
      <c r="F214" s="4">
        <v>4604.727272727273</v>
      </c>
      <c r="G214" s="4"/>
      <c r="H214" s="4">
        <v>3947.0</v>
      </c>
      <c r="I214" s="4"/>
      <c r="J214" s="4">
        <v>3070.0</v>
      </c>
      <c r="K214" s="5"/>
      <c r="L214" s="5">
        <v>36837.818181818184</v>
      </c>
      <c r="M214" s="6"/>
      <c r="N214" s="5">
        <v>163666.617</v>
      </c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22.5" customHeight="1">
      <c r="A215" s="3">
        <v>45871.0</v>
      </c>
      <c r="B215" s="4">
        <v>5262.0</v>
      </c>
      <c r="C215" s="4"/>
      <c r="D215" s="4">
        <v>4824.0</v>
      </c>
      <c r="E215" s="4"/>
      <c r="F215" s="4">
        <v>4604.727272727273</v>
      </c>
      <c r="G215" s="4"/>
      <c r="H215" s="4">
        <v>3947.0</v>
      </c>
      <c r="I215" s="4"/>
      <c r="J215" s="4">
        <v>3070.0</v>
      </c>
      <c r="K215" s="5"/>
      <c r="L215" s="5">
        <v>36837.818181818184</v>
      </c>
      <c r="M215" s="6"/>
      <c r="N215" s="5">
        <v>163666.617</v>
      </c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22.5" customHeight="1">
      <c r="A216" s="3">
        <v>45872.0</v>
      </c>
      <c r="B216" s="4">
        <v>5257.0</v>
      </c>
      <c r="C216" s="4"/>
      <c r="D216" s="4">
        <v>4819.0</v>
      </c>
      <c r="E216" s="4"/>
      <c r="F216" s="4">
        <v>4599.954545454546</v>
      </c>
      <c r="G216" s="4"/>
      <c r="H216" s="4">
        <v>3943.0</v>
      </c>
      <c r="I216" s="4"/>
      <c r="J216" s="4">
        <v>3066.0</v>
      </c>
      <c r="K216" s="5"/>
      <c r="L216" s="5">
        <v>36799.63636363637</v>
      </c>
      <c r="M216" s="6"/>
      <c r="N216" s="5">
        <v>163511.0995</v>
      </c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22.5" customHeight="1">
      <c r="A217" s="3">
        <v>45873.0</v>
      </c>
      <c r="B217" s="4">
        <v>5257.0</v>
      </c>
      <c r="C217" s="4"/>
      <c r="D217" s="4">
        <v>4819.0</v>
      </c>
      <c r="E217" s="4"/>
      <c r="F217" s="4">
        <v>4599.954545454546</v>
      </c>
      <c r="G217" s="4"/>
      <c r="H217" s="4">
        <v>3943.0</v>
      </c>
      <c r="I217" s="4"/>
      <c r="J217" s="4">
        <v>3066.0</v>
      </c>
      <c r="K217" s="5"/>
      <c r="L217" s="5">
        <v>36799.63636363637</v>
      </c>
      <c r="M217" s="6"/>
      <c r="N217" s="5">
        <v>163511.0995</v>
      </c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22.5" customHeight="1">
      <c r="A218" s="3">
        <v>45874.0</v>
      </c>
      <c r="B218" s="4">
        <v>5262.0</v>
      </c>
      <c r="C218" s="4"/>
      <c r="D218" s="4">
        <v>4824.0</v>
      </c>
      <c r="E218" s="4"/>
      <c r="F218" s="4">
        <v>4604.727272727273</v>
      </c>
      <c r="G218" s="4"/>
      <c r="H218" s="4">
        <v>3947.0</v>
      </c>
      <c r="I218" s="4"/>
      <c r="J218" s="4">
        <v>3070.0</v>
      </c>
      <c r="K218" s="5"/>
      <c r="L218" s="5">
        <v>36837.818181818184</v>
      </c>
      <c r="M218" s="6"/>
      <c r="N218" s="5">
        <v>163666.617</v>
      </c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22.5" customHeight="1">
      <c r="A219" s="3">
        <v>45875.0</v>
      </c>
      <c r="B219" s="4">
        <v>5251.0</v>
      </c>
      <c r="C219" s="4"/>
      <c r="D219" s="4">
        <v>4814.0</v>
      </c>
      <c r="E219" s="4"/>
      <c r="F219" s="4">
        <v>4595.181818181818</v>
      </c>
      <c r="G219" s="4"/>
      <c r="H219" s="4">
        <v>3939.0</v>
      </c>
      <c r="I219" s="4"/>
      <c r="J219" s="4">
        <v>3063.0</v>
      </c>
      <c r="K219" s="5"/>
      <c r="L219" s="5">
        <v>36761.454545454544</v>
      </c>
      <c r="M219" s="6"/>
      <c r="N219" s="5">
        <v>163324.4785</v>
      </c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22.5" customHeight="1">
      <c r="A220" s="3">
        <v>45876.0</v>
      </c>
      <c r="B220" s="4">
        <v>5296.0</v>
      </c>
      <c r="C220" s="4"/>
      <c r="D220" s="4">
        <v>4855.0</v>
      </c>
      <c r="E220" s="4"/>
      <c r="F220" s="4">
        <v>4634.318181818182</v>
      </c>
      <c r="G220" s="4"/>
      <c r="H220" s="4">
        <v>3972.0</v>
      </c>
      <c r="I220" s="4"/>
      <c r="J220" s="4">
        <v>3089.0</v>
      </c>
      <c r="K220" s="5"/>
      <c r="L220" s="5">
        <v>37074.545454545456</v>
      </c>
      <c r="M220" s="6"/>
      <c r="N220" s="5">
        <v>164724.136</v>
      </c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22.5" customHeight="1">
      <c r="A221" s="3">
        <v>45877.0</v>
      </c>
      <c r="B221" s="4">
        <v>5303.0</v>
      </c>
      <c r="C221" s="4"/>
      <c r="D221" s="4">
        <v>4861.0</v>
      </c>
      <c r="E221" s="4"/>
      <c r="F221" s="4">
        <v>4640.045454545455</v>
      </c>
      <c r="G221" s="4"/>
      <c r="H221" s="4">
        <v>3977.0</v>
      </c>
      <c r="I221" s="4"/>
      <c r="J221" s="4">
        <v>3093.0</v>
      </c>
      <c r="K221" s="5"/>
      <c r="L221" s="5">
        <v>37120.36363636364</v>
      </c>
      <c r="M221" s="6"/>
      <c r="N221" s="5">
        <v>164941.8605</v>
      </c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22.5" customHeight="1">
      <c r="A222" s="3">
        <v>45878.0</v>
      </c>
      <c r="B222" s="4">
        <v>5303.0</v>
      </c>
      <c r="C222" s="4"/>
      <c r="D222" s="4">
        <v>4861.0</v>
      </c>
      <c r="E222" s="4"/>
      <c r="F222" s="4">
        <v>4640.045454545455</v>
      </c>
      <c r="G222" s="4"/>
      <c r="H222" s="4">
        <v>3977.0</v>
      </c>
      <c r="I222" s="4"/>
      <c r="J222" s="4">
        <v>3093.0</v>
      </c>
      <c r="K222" s="5"/>
      <c r="L222" s="5">
        <v>37120.36363636364</v>
      </c>
      <c r="M222" s="6"/>
      <c r="N222" s="5">
        <v>164941.8605</v>
      </c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22.5" customHeight="1">
      <c r="A223" s="3">
        <v>45879.0</v>
      </c>
      <c r="B223" s="4">
        <v>5215.0</v>
      </c>
      <c r="C223" s="4"/>
      <c r="D223" s="4">
        <v>4780.0</v>
      </c>
      <c r="E223" s="4"/>
      <c r="F223" s="4">
        <v>4562.727272727273</v>
      </c>
      <c r="G223" s="4"/>
      <c r="H223" s="4">
        <v>3911.0</v>
      </c>
      <c r="I223" s="4"/>
      <c r="J223" s="4">
        <v>3042.0</v>
      </c>
      <c r="K223" s="5"/>
      <c r="L223" s="5">
        <v>36501.818181818184</v>
      </c>
      <c r="M223" s="6"/>
      <c r="N223" s="5">
        <v>162204.7525</v>
      </c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22.5" customHeight="1">
      <c r="A224" s="3">
        <v>45880.0</v>
      </c>
      <c r="B224" s="4">
        <v>5215.0</v>
      </c>
      <c r="C224" s="4"/>
      <c r="D224" s="4">
        <v>4780.0</v>
      </c>
      <c r="E224" s="4"/>
      <c r="F224" s="4">
        <v>4562.727272727273</v>
      </c>
      <c r="G224" s="4"/>
      <c r="H224" s="4">
        <v>3911.0</v>
      </c>
      <c r="I224" s="4"/>
      <c r="J224" s="4">
        <v>3042.0</v>
      </c>
      <c r="K224" s="5"/>
      <c r="L224" s="5">
        <v>36501.818181818184</v>
      </c>
      <c r="M224" s="6"/>
      <c r="N224" s="5">
        <v>162204.7525</v>
      </c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22.5" customHeight="1">
      <c r="A225" s="3">
        <v>45881.0</v>
      </c>
      <c r="B225" s="4">
        <v>5221.0</v>
      </c>
      <c r="C225" s="4"/>
      <c r="D225" s="4">
        <v>4786.0</v>
      </c>
      <c r="E225" s="4"/>
      <c r="F225" s="4">
        <v>4568.454545454546</v>
      </c>
      <c r="G225" s="4"/>
      <c r="H225" s="4">
        <v>3916.0</v>
      </c>
      <c r="I225" s="4"/>
      <c r="J225" s="4">
        <v>3046.0</v>
      </c>
      <c r="K225" s="5"/>
      <c r="L225" s="5">
        <v>36547.63636363637</v>
      </c>
      <c r="M225" s="6"/>
      <c r="N225" s="5">
        <v>162391.37350000002</v>
      </c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22.5" customHeight="1">
      <c r="A226" s="3">
        <v>45882.0</v>
      </c>
      <c r="B226" s="4">
        <v>5216.0</v>
      </c>
      <c r="C226" s="4"/>
      <c r="D226" s="4">
        <v>4781.0</v>
      </c>
      <c r="E226" s="4"/>
      <c r="F226" s="4">
        <v>4563.681818181818</v>
      </c>
      <c r="G226" s="4"/>
      <c r="H226" s="4">
        <v>3912.0</v>
      </c>
      <c r="I226" s="4"/>
      <c r="J226" s="4">
        <v>3042.0</v>
      </c>
      <c r="K226" s="5"/>
      <c r="L226" s="5">
        <v>36509.454545454544</v>
      </c>
      <c r="M226" s="6"/>
      <c r="N226" s="5">
        <v>162235.856</v>
      </c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22.5" customHeight="1">
      <c r="A227" s="3">
        <v>45883.0</v>
      </c>
      <c r="B227" s="4">
        <v>5177.0</v>
      </c>
      <c r="C227" s="4"/>
      <c r="D227" s="4">
        <v>4746.0</v>
      </c>
      <c r="E227" s="4"/>
      <c r="F227" s="4">
        <v>4530.272727272727</v>
      </c>
      <c r="G227" s="4"/>
      <c r="H227" s="4">
        <v>3883.0</v>
      </c>
      <c r="I227" s="4"/>
      <c r="J227" s="4">
        <v>3020.0</v>
      </c>
      <c r="K227" s="5"/>
      <c r="L227" s="5">
        <v>36242.181818181816</v>
      </c>
      <c r="M227" s="6"/>
      <c r="N227" s="5">
        <v>161022.8195</v>
      </c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22.5" customHeight="1">
      <c r="A228" s="3">
        <v>45884.0</v>
      </c>
      <c r="B228" s="4">
        <v>5175.0</v>
      </c>
      <c r="C228" s="4"/>
      <c r="D228" s="4">
        <v>4744.0</v>
      </c>
      <c r="E228" s="4"/>
      <c r="F228" s="4">
        <v>4528.363636363637</v>
      </c>
      <c r="G228" s="4"/>
      <c r="H228" s="4">
        <v>3881.0</v>
      </c>
      <c r="I228" s="4"/>
      <c r="J228" s="4">
        <v>3019.0</v>
      </c>
      <c r="K228" s="5"/>
      <c r="L228" s="5">
        <v>36226.909090909096</v>
      </c>
      <c r="M228" s="6"/>
      <c r="N228" s="5">
        <v>160960.6125</v>
      </c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22.5" customHeight="1">
      <c r="A229" s="3">
        <v>45885.0</v>
      </c>
      <c r="B229" s="4">
        <v>5175.0</v>
      </c>
      <c r="C229" s="4"/>
      <c r="D229" s="4">
        <v>4744.0</v>
      </c>
      <c r="E229" s="4"/>
      <c r="F229" s="4">
        <v>4528.363636363637</v>
      </c>
      <c r="G229" s="4"/>
      <c r="H229" s="4">
        <v>3881.0</v>
      </c>
      <c r="I229" s="4"/>
      <c r="J229" s="4">
        <v>3019.0</v>
      </c>
      <c r="K229" s="5"/>
      <c r="L229" s="5">
        <v>36226.909090909096</v>
      </c>
      <c r="M229" s="6"/>
      <c r="N229" s="5">
        <v>160960.6125</v>
      </c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22.5" customHeight="1">
      <c r="A230" s="3">
        <v>45886.0</v>
      </c>
      <c r="B230" s="4">
        <v>5186.0</v>
      </c>
      <c r="C230" s="4"/>
      <c r="D230" s="4">
        <v>4754.0</v>
      </c>
      <c r="E230" s="4"/>
      <c r="F230" s="4">
        <v>4537.909090909091</v>
      </c>
      <c r="G230" s="4"/>
      <c r="H230" s="4">
        <v>3890.0</v>
      </c>
      <c r="I230" s="4"/>
      <c r="J230" s="4">
        <v>3025.0</v>
      </c>
      <c r="K230" s="5"/>
      <c r="L230" s="5">
        <v>36303.27272727273</v>
      </c>
      <c r="M230" s="6"/>
      <c r="N230" s="5">
        <v>161302.751</v>
      </c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22.5" customHeight="1">
      <c r="A231" s="3">
        <v>45887.0</v>
      </c>
      <c r="B231" s="4">
        <v>5186.0</v>
      </c>
      <c r="C231" s="4"/>
      <c r="D231" s="4">
        <v>4754.0</v>
      </c>
      <c r="E231" s="4"/>
      <c r="F231" s="4">
        <v>4537.909090909091</v>
      </c>
      <c r="G231" s="4"/>
      <c r="H231" s="4">
        <v>3890.0</v>
      </c>
      <c r="I231" s="4"/>
      <c r="J231" s="4">
        <v>3025.0</v>
      </c>
      <c r="K231" s="5"/>
      <c r="L231" s="5">
        <v>36303.27272727273</v>
      </c>
      <c r="M231" s="6"/>
      <c r="N231" s="5">
        <v>161302.751</v>
      </c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22.5" customHeight="1">
      <c r="A232" s="3">
        <v>45888.0</v>
      </c>
      <c r="B232" s="4">
        <v>5168.0</v>
      </c>
      <c r="C232" s="4"/>
      <c r="D232" s="4">
        <v>4737.0</v>
      </c>
      <c r="E232" s="4"/>
      <c r="F232" s="4">
        <v>4521.681818181818</v>
      </c>
      <c r="G232" s="4"/>
      <c r="H232" s="4">
        <v>3876.0</v>
      </c>
      <c r="I232" s="4"/>
      <c r="J232" s="4">
        <v>3014.0</v>
      </c>
      <c r="K232" s="5"/>
      <c r="L232" s="5">
        <v>36173.454545454544</v>
      </c>
      <c r="M232" s="6"/>
      <c r="N232" s="5">
        <v>160742.888</v>
      </c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22.5" customHeight="1">
      <c r="A233" s="3">
        <v>45889.0</v>
      </c>
      <c r="B233" s="4">
        <v>5233.0</v>
      </c>
      <c r="C233" s="4"/>
      <c r="D233" s="4">
        <v>4797.0</v>
      </c>
      <c r="E233" s="4"/>
      <c r="F233" s="4">
        <v>4578.954545454546</v>
      </c>
      <c r="G233" s="4"/>
      <c r="H233" s="4">
        <v>3925.0</v>
      </c>
      <c r="I233" s="4"/>
      <c r="J233" s="4">
        <v>3052.0</v>
      </c>
      <c r="K233" s="5"/>
      <c r="L233" s="5">
        <v>36631.63636363637</v>
      </c>
      <c r="M233" s="6"/>
      <c r="N233" s="5">
        <v>162764.6155</v>
      </c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22.5" customHeight="1">
      <c r="A234" s="3">
        <v>45890.0</v>
      </c>
      <c r="B234" s="4">
        <v>5208.0</v>
      </c>
      <c r="C234" s="4"/>
      <c r="D234" s="4">
        <v>4774.0</v>
      </c>
      <c r="E234" s="4"/>
      <c r="F234" s="4">
        <v>4557.0</v>
      </c>
      <c r="G234" s="4"/>
      <c r="H234" s="4">
        <v>3906.0</v>
      </c>
      <c r="I234" s="4"/>
      <c r="J234" s="4">
        <v>3038.0</v>
      </c>
      <c r="K234" s="5"/>
      <c r="L234" s="5">
        <v>36456.0</v>
      </c>
      <c r="M234" s="6"/>
      <c r="N234" s="5">
        <v>161987.028</v>
      </c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22.5" customHeight="1">
      <c r="A235" s="3">
        <v>45891.0</v>
      </c>
      <c r="B235" s="4">
        <v>5261.0</v>
      </c>
      <c r="C235" s="4"/>
      <c r="D235" s="4">
        <v>4823.0</v>
      </c>
      <c r="E235" s="4"/>
      <c r="F235" s="4">
        <v>4603.772727272727</v>
      </c>
      <c r="G235" s="4"/>
      <c r="H235" s="4">
        <v>3946.0</v>
      </c>
      <c r="I235" s="4"/>
      <c r="J235" s="4">
        <v>3069.0</v>
      </c>
      <c r="K235" s="5"/>
      <c r="L235" s="5">
        <v>36830.181818181816</v>
      </c>
      <c r="M235" s="6"/>
      <c r="N235" s="5">
        <v>163635.5135</v>
      </c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22.5" customHeight="1">
      <c r="A236" s="3">
        <v>45892.0</v>
      </c>
      <c r="B236" s="4">
        <v>5261.0</v>
      </c>
      <c r="C236" s="4"/>
      <c r="D236" s="4">
        <v>4823.0</v>
      </c>
      <c r="E236" s="4"/>
      <c r="F236" s="4">
        <v>4603.772727272727</v>
      </c>
      <c r="G236" s="4"/>
      <c r="H236" s="4">
        <v>3946.0</v>
      </c>
      <c r="I236" s="4"/>
      <c r="J236" s="4">
        <v>3069.0</v>
      </c>
      <c r="K236" s="5"/>
      <c r="L236" s="5">
        <v>36830.181818181816</v>
      </c>
      <c r="M236" s="6"/>
      <c r="N236" s="5">
        <v>163635.5135</v>
      </c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22.5" customHeight="1">
      <c r="A237" s="3">
        <v>45893.0</v>
      </c>
      <c r="B237" s="4">
        <v>5246.0</v>
      </c>
      <c r="C237" s="4"/>
      <c r="D237" s="4">
        <v>4809.0</v>
      </c>
      <c r="E237" s="4"/>
      <c r="F237" s="4">
        <v>4590.409090909091</v>
      </c>
      <c r="G237" s="4"/>
      <c r="H237" s="4">
        <v>3935.0</v>
      </c>
      <c r="I237" s="4"/>
      <c r="J237" s="4">
        <v>3060.0</v>
      </c>
      <c r="K237" s="5"/>
      <c r="L237" s="5">
        <v>36723.27272727273</v>
      </c>
      <c r="M237" s="6"/>
      <c r="N237" s="5">
        <v>163168.961</v>
      </c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22.5" customHeight="1">
      <c r="A238" s="3">
        <v>45894.0</v>
      </c>
      <c r="B238" s="4">
        <v>5246.0</v>
      </c>
      <c r="C238" s="4"/>
      <c r="D238" s="4">
        <v>4809.0</v>
      </c>
      <c r="E238" s="4"/>
      <c r="F238" s="4">
        <v>4590.409090909091</v>
      </c>
      <c r="G238" s="4"/>
      <c r="H238" s="4">
        <v>3935.0</v>
      </c>
      <c r="I238" s="4"/>
      <c r="J238" s="4">
        <v>3060.0</v>
      </c>
      <c r="K238" s="5"/>
      <c r="L238" s="5">
        <v>36723.27272727273</v>
      </c>
      <c r="M238" s="6"/>
      <c r="N238" s="5">
        <v>163168.961</v>
      </c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22.5" customHeight="1">
      <c r="A239" s="3">
        <v>45895.0</v>
      </c>
      <c r="B239" s="4">
        <v>5297.0</v>
      </c>
      <c r="C239" s="4"/>
      <c r="D239" s="4">
        <v>4856.0</v>
      </c>
      <c r="E239" s="4"/>
      <c r="F239" s="4">
        <v>4635.272727272727</v>
      </c>
      <c r="G239" s="4"/>
      <c r="H239" s="4">
        <v>3973.0</v>
      </c>
      <c r="I239" s="4"/>
      <c r="J239" s="4">
        <v>3090.0</v>
      </c>
      <c r="K239" s="5"/>
      <c r="L239" s="5">
        <v>37082.181818181816</v>
      </c>
      <c r="M239" s="6"/>
      <c r="N239" s="5">
        <v>164755.2395</v>
      </c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22.5" customHeight="1">
      <c r="A240" s="3">
        <v>45896.0</v>
      </c>
      <c r="B240" s="4">
        <v>5311.0</v>
      </c>
      <c r="C240" s="4"/>
      <c r="D240" s="4">
        <v>4869.0</v>
      </c>
      <c r="E240" s="4"/>
      <c r="F240" s="4">
        <v>4647.681818181818</v>
      </c>
      <c r="G240" s="4"/>
      <c r="H240" s="4">
        <v>3984.0</v>
      </c>
      <c r="I240" s="4"/>
      <c r="J240" s="4">
        <v>3098.0</v>
      </c>
      <c r="K240" s="5"/>
      <c r="L240" s="5">
        <v>37181.454545454544</v>
      </c>
      <c r="M240" s="6"/>
      <c r="N240" s="5">
        <v>165190.6885</v>
      </c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22.5" customHeight="1">
      <c r="A241" s="3">
        <v>45897.0</v>
      </c>
      <c r="B241" s="4">
        <v>5328.0</v>
      </c>
      <c r="C241" s="4"/>
      <c r="D241" s="4">
        <v>4884.0</v>
      </c>
      <c r="E241" s="4"/>
      <c r="F241" s="4">
        <v>4662.0</v>
      </c>
      <c r="G241" s="4"/>
      <c r="H241" s="4">
        <v>3996.0</v>
      </c>
      <c r="I241" s="4"/>
      <c r="J241" s="4">
        <v>3108.0</v>
      </c>
      <c r="K241" s="5"/>
      <c r="L241" s="5">
        <v>37296.0</v>
      </c>
      <c r="M241" s="6"/>
      <c r="N241" s="5">
        <v>165719.448</v>
      </c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ht="22.5" customHeight="1">
      <c r="A242" s="3">
        <v>45898.0</v>
      </c>
      <c r="B242" s="4">
        <v>5384.0</v>
      </c>
      <c r="C242" s="4"/>
      <c r="D242" s="4">
        <v>4936.0</v>
      </c>
      <c r="E242" s="4"/>
      <c r="F242" s="4">
        <v>4711.636363636364</v>
      </c>
      <c r="G242" s="4"/>
      <c r="H242" s="4">
        <v>4038.0</v>
      </c>
      <c r="I242" s="4"/>
      <c r="J242" s="4">
        <v>3141.0</v>
      </c>
      <c r="K242" s="5"/>
      <c r="L242" s="5">
        <v>37693.09090909091</v>
      </c>
      <c r="M242" s="6"/>
      <c r="N242" s="5">
        <v>167461.244</v>
      </c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ht="22.5" customHeight="1">
      <c r="A243" s="3">
        <v>45899.0</v>
      </c>
      <c r="B243" s="4">
        <v>5384.0</v>
      </c>
      <c r="C243" s="4"/>
      <c r="D243" s="4">
        <v>4936.0</v>
      </c>
      <c r="E243" s="4"/>
      <c r="F243" s="4">
        <v>4711.636363636364</v>
      </c>
      <c r="G243" s="4"/>
      <c r="H243" s="4">
        <v>4038.0</v>
      </c>
      <c r="I243" s="4"/>
      <c r="J243" s="4">
        <v>3141.0</v>
      </c>
      <c r="K243" s="5"/>
      <c r="L243" s="5">
        <v>37693.09090909091</v>
      </c>
      <c r="M243" s="6"/>
      <c r="N243" s="5">
        <v>167461.244</v>
      </c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ht="22.5" customHeight="1">
      <c r="A244" s="3">
        <v>45900.0</v>
      </c>
      <c r="B244" s="4">
        <v>5428.0</v>
      </c>
      <c r="C244" s="4"/>
      <c r="D244" s="4">
        <v>4976.0</v>
      </c>
      <c r="E244" s="4"/>
      <c r="F244" s="4">
        <v>4749.818181818182</v>
      </c>
      <c r="G244" s="4"/>
      <c r="H244" s="4">
        <v>4071.0</v>
      </c>
      <c r="I244" s="4"/>
      <c r="J244" s="4">
        <v>3167.0</v>
      </c>
      <c r="K244" s="5"/>
      <c r="L244" s="5">
        <v>37998.545454545456</v>
      </c>
      <c r="M244" s="6"/>
      <c r="N244" s="5">
        <v>168829.798</v>
      </c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ht="22.5" customHeight="1">
      <c r="A245" s="3">
        <v>45901.0</v>
      </c>
      <c r="B245" s="4">
        <v>5428.0</v>
      </c>
      <c r="C245" s="4"/>
      <c r="D245" s="4">
        <v>4976.0</v>
      </c>
      <c r="E245" s="4"/>
      <c r="F245" s="4">
        <v>4749.818181818182</v>
      </c>
      <c r="G245" s="4"/>
      <c r="H245" s="4">
        <v>4071.0</v>
      </c>
      <c r="I245" s="4"/>
      <c r="J245" s="4">
        <v>3167.0</v>
      </c>
      <c r="K245" s="5"/>
      <c r="L245" s="5">
        <v>37998.545454545456</v>
      </c>
      <c r="M245" s="6"/>
      <c r="N245" s="5">
        <v>168829.798</v>
      </c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ht="22.5" customHeight="1">
      <c r="A246" s="3">
        <v>45902.0</v>
      </c>
      <c r="B246" s="4">
        <v>5512.0</v>
      </c>
      <c r="C246" s="4"/>
      <c r="D246" s="4">
        <v>5053.0</v>
      </c>
      <c r="E246" s="4"/>
      <c r="F246" s="4">
        <v>4823.318181818182</v>
      </c>
      <c r="G246" s="4"/>
      <c r="H246" s="4">
        <v>4134.0</v>
      </c>
      <c r="I246" s="4"/>
      <c r="J246" s="4">
        <v>3215.0</v>
      </c>
      <c r="K246" s="5"/>
      <c r="L246" s="5">
        <v>38586.545454545456</v>
      </c>
      <c r="M246" s="6"/>
      <c r="N246" s="5">
        <v>171442.492</v>
      </c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ht="22.5" customHeight="1">
      <c r="A247" s="3">
        <v>45903.0</v>
      </c>
      <c r="B247" s="4">
        <v>5561.0</v>
      </c>
      <c r="C247" s="4"/>
      <c r="D247" s="4">
        <v>5098.0</v>
      </c>
      <c r="E247" s="4"/>
      <c r="F247" s="4">
        <v>4866.272727272727</v>
      </c>
      <c r="G247" s="4"/>
      <c r="H247" s="4">
        <v>4171.0</v>
      </c>
      <c r="I247" s="4"/>
      <c r="J247" s="4">
        <v>3244.0</v>
      </c>
      <c r="K247" s="5"/>
      <c r="L247" s="5">
        <v>38930.181818181816</v>
      </c>
      <c r="M247" s="6"/>
      <c r="N247" s="5">
        <v>172966.5635</v>
      </c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ht="22.5" customHeight="1">
      <c r="A248" s="3">
        <v>45904.0</v>
      </c>
      <c r="B248" s="4">
        <v>5529.0</v>
      </c>
      <c r="C248" s="4"/>
      <c r="D248" s="4">
        <v>5068.0</v>
      </c>
      <c r="E248" s="4"/>
      <c r="F248" s="4">
        <v>4837.636363636364</v>
      </c>
      <c r="G248" s="4"/>
      <c r="H248" s="4">
        <v>4147.0</v>
      </c>
      <c r="I248" s="4"/>
      <c r="J248" s="4">
        <v>3225.0</v>
      </c>
      <c r="K248" s="5"/>
      <c r="L248" s="5">
        <v>38701.09090909091</v>
      </c>
      <c r="M248" s="6"/>
      <c r="N248" s="5">
        <v>171971.2515</v>
      </c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ht="22.5" customHeight="1">
      <c r="A249" s="3">
        <v>45905.0</v>
      </c>
      <c r="B249" s="4">
        <v>5598.0</v>
      </c>
      <c r="C249" s="4"/>
      <c r="D249" s="4">
        <v>5131.0</v>
      </c>
      <c r="E249" s="4"/>
      <c r="F249" s="4">
        <v>4897.772727272728</v>
      </c>
      <c r="G249" s="4"/>
      <c r="H249" s="4">
        <v>4198.0</v>
      </c>
      <c r="I249" s="4"/>
      <c r="J249" s="4">
        <v>3265.0</v>
      </c>
      <c r="K249" s="5"/>
      <c r="L249" s="5">
        <v>39182.18181818182</v>
      </c>
      <c r="M249" s="6"/>
      <c r="N249" s="5">
        <v>174117.393</v>
      </c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ht="22.5" customHeight="1">
      <c r="A250" s="3">
        <v>45906.0</v>
      </c>
      <c r="B250" s="4">
        <v>5598.0</v>
      </c>
      <c r="C250" s="4"/>
      <c r="D250" s="4">
        <v>5131.0</v>
      </c>
      <c r="E250" s="4"/>
      <c r="F250" s="4">
        <v>4897.772727272728</v>
      </c>
      <c r="G250" s="4"/>
      <c r="H250" s="4">
        <v>4198.0</v>
      </c>
      <c r="I250" s="4"/>
      <c r="J250" s="4">
        <v>3265.0</v>
      </c>
      <c r="K250" s="5"/>
      <c r="L250" s="5">
        <v>39182.18181818182</v>
      </c>
      <c r="M250" s="6"/>
      <c r="N250" s="5">
        <v>174117.393</v>
      </c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ht="22.5" customHeight="1">
      <c r="A251" s="3">
        <v>45907.0</v>
      </c>
      <c r="B251" s="4">
        <v>5628.0</v>
      </c>
      <c r="C251" s="4"/>
      <c r="D251" s="4">
        <v>5159.0</v>
      </c>
      <c r="E251" s="4"/>
      <c r="F251" s="4">
        <v>4924.5</v>
      </c>
      <c r="G251" s="4"/>
      <c r="H251" s="4">
        <v>4221.0</v>
      </c>
      <c r="I251" s="4"/>
      <c r="J251" s="4">
        <v>3283.0</v>
      </c>
      <c r="K251" s="5"/>
      <c r="L251" s="5">
        <v>39396.0</v>
      </c>
      <c r="M251" s="6"/>
      <c r="N251" s="5">
        <v>175050.498</v>
      </c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ht="22.5" customHeight="1">
      <c r="A252" s="3">
        <v>45908.0</v>
      </c>
      <c r="B252" s="4">
        <v>5628.0</v>
      </c>
      <c r="C252" s="4"/>
      <c r="D252" s="4">
        <v>5159.0</v>
      </c>
      <c r="E252" s="4"/>
      <c r="F252" s="4">
        <v>4924.5</v>
      </c>
      <c r="G252" s="4"/>
      <c r="H252" s="4">
        <v>4221.0</v>
      </c>
      <c r="I252" s="4"/>
      <c r="J252" s="4">
        <v>3283.0</v>
      </c>
      <c r="K252" s="5"/>
      <c r="L252" s="5">
        <v>39396.0</v>
      </c>
      <c r="M252" s="6"/>
      <c r="N252" s="5">
        <v>175050.498</v>
      </c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ht="22.5" customHeight="1">
      <c r="A253" s="3">
        <v>45909.0</v>
      </c>
      <c r="B253" s="4">
        <v>5590.0</v>
      </c>
      <c r="C253" s="4"/>
      <c r="D253" s="4">
        <v>5124.0</v>
      </c>
      <c r="E253" s="4"/>
      <c r="F253" s="4">
        <v>4891.090909090909</v>
      </c>
      <c r="G253" s="4"/>
      <c r="H253" s="4">
        <v>4192.0</v>
      </c>
      <c r="I253" s="4"/>
      <c r="J253" s="4">
        <v>3261.0</v>
      </c>
      <c r="K253" s="5"/>
      <c r="L253" s="5">
        <v>39128.72727272727</v>
      </c>
      <c r="M253" s="6"/>
      <c r="N253" s="5">
        <v>173868.565</v>
      </c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ht="22.5" customHeight="1">
      <c r="A254" s="3">
        <v>45910.0</v>
      </c>
      <c r="B254" s="4">
        <v>5628.0</v>
      </c>
      <c r="C254" s="4"/>
      <c r="D254" s="4">
        <v>5159.0</v>
      </c>
      <c r="E254" s="4"/>
      <c r="F254" s="4">
        <v>4924.5</v>
      </c>
      <c r="G254" s="4"/>
      <c r="H254" s="4">
        <v>4221.0</v>
      </c>
      <c r="I254" s="4"/>
      <c r="J254" s="4">
        <v>3283.0</v>
      </c>
      <c r="K254" s="5"/>
      <c r="L254" s="5">
        <v>39396.0</v>
      </c>
      <c r="M254" s="6"/>
      <c r="N254" s="5">
        <v>175050.498</v>
      </c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ht="22.5" customHeight="1">
      <c r="A255" s="3">
        <v>45911.0</v>
      </c>
      <c r="B255" s="4">
        <v>5639.0</v>
      </c>
      <c r="C255" s="4"/>
      <c r="D255" s="4">
        <v>5169.0</v>
      </c>
      <c r="E255" s="4"/>
      <c r="F255" s="4">
        <v>4934.045454545455</v>
      </c>
      <c r="G255" s="4"/>
      <c r="H255" s="4">
        <v>4229.0</v>
      </c>
      <c r="I255" s="4"/>
      <c r="J255" s="4">
        <v>3290.0</v>
      </c>
      <c r="K255" s="5"/>
      <c r="L255" s="5">
        <v>39472.36363636364</v>
      </c>
      <c r="M255" s="6"/>
      <c r="N255" s="5">
        <v>175392.6365</v>
      </c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ht="22.5" customHeight="1">
      <c r="A256" s="3">
        <v>45912.0</v>
      </c>
      <c r="B256" s="4">
        <v>5641.0</v>
      </c>
      <c r="C256" s="4"/>
      <c r="D256" s="4">
        <v>5171.0</v>
      </c>
      <c r="E256" s="4"/>
      <c r="F256" s="4">
        <v>4935.954545454546</v>
      </c>
      <c r="G256" s="4"/>
      <c r="H256" s="4">
        <v>4231.0</v>
      </c>
      <c r="I256" s="4"/>
      <c r="J256" s="4">
        <v>3291.0</v>
      </c>
      <c r="K256" s="5"/>
      <c r="L256" s="5">
        <v>39487.63636363637</v>
      </c>
      <c r="M256" s="6"/>
      <c r="N256" s="5">
        <v>175454.8435</v>
      </c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ht="22.5" customHeight="1">
      <c r="A257" s="3">
        <v>45913.0</v>
      </c>
      <c r="B257" s="4">
        <v>5641.0</v>
      </c>
      <c r="C257" s="4"/>
      <c r="D257" s="4">
        <v>5171.0</v>
      </c>
      <c r="E257" s="4"/>
      <c r="F257" s="4">
        <v>4935.954545454546</v>
      </c>
      <c r="G257" s="4"/>
      <c r="H257" s="4">
        <v>4231.0</v>
      </c>
      <c r="I257" s="4"/>
      <c r="J257" s="4">
        <v>3291.0</v>
      </c>
      <c r="K257" s="5"/>
      <c r="L257" s="5">
        <v>39487.63636363637</v>
      </c>
      <c r="M257" s="6"/>
      <c r="N257" s="5">
        <v>175454.8435</v>
      </c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ht="22.5" customHeight="1">
      <c r="A258" s="3">
        <v>45914.0</v>
      </c>
      <c r="B258" s="4">
        <v>5697.0</v>
      </c>
      <c r="C258" s="4"/>
      <c r="D258" s="4">
        <v>5222.0</v>
      </c>
      <c r="E258" s="4"/>
      <c r="F258" s="4">
        <v>4984.636363636364</v>
      </c>
      <c r="G258" s="4"/>
      <c r="H258" s="4">
        <v>4273.0</v>
      </c>
      <c r="I258" s="4"/>
      <c r="J258" s="4">
        <v>3323.0</v>
      </c>
      <c r="K258" s="5"/>
      <c r="L258" s="5">
        <v>39877.09090909091</v>
      </c>
      <c r="M258" s="6"/>
      <c r="N258" s="5">
        <v>177196.6395</v>
      </c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ht="22.5" customHeight="1">
      <c r="A259" s="3">
        <v>45915.0</v>
      </c>
      <c r="B259" s="4">
        <v>5697.0</v>
      </c>
      <c r="C259" s="4"/>
      <c r="D259" s="4">
        <v>5222.0</v>
      </c>
      <c r="E259" s="4"/>
      <c r="F259" s="4">
        <v>4984.636363636364</v>
      </c>
      <c r="G259" s="4"/>
      <c r="H259" s="4">
        <v>4273.0</v>
      </c>
      <c r="I259" s="4"/>
      <c r="J259" s="4">
        <v>3323.0</v>
      </c>
      <c r="K259" s="5"/>
      <c r="L259" s="5">
        <v>39877.09090909091</v>
      </c>
      <c r="M259" s="6"/>
      <c r="N259" s="5">
        <v>177196.6395</v>
      </c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ht="22.5" customHeight="1">
      <c r="A260" s="3">
        <v>45916.0</v>
      </c>
      <c r="B260" s="4">
        <v>5706.0</v>
      </c>
      <c r="C260" s="4"/>
      <c r="D260" s="4">
        <v>5230.0</v>
      </c>
      <c r="E260" s="4"/>
      <c r="F260" s="4">
        <v>4992.272727272728</v>
      </c>
      <c r="G260" s="4"/>
      <c r="H260" s="4">
        <v>4279.0</v>
      </c>
      <c r="I260" s="4"/>
      <c r="J260" s="4">
        <v>3328.0</v>
      </c>
      <c r="K260" s="5"/>
      <c r="L260" s="5">
        <v>39938.18181818182</v>
      </c>
      <c r="M260" s="6"/>
      <c r="N260" s="5">
        <v>177476.571</v>
      </c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ht="22.5" customHeight="1">
      <c r="A261" s="3">
        <v>45917.0</v>
      </c>
      <c r="B261" s="4">
        <v>5671.0</v>
      </c>
      <c r="C261" s="4"/>
      <c r="D261" s="4">
        <v>5199.0</v>
      </c>
      <c r="E261" s="4"/>
      <c r="F261" s="4">
        <v>4962.681818181818</v>
      </c>
      <c r="G261" s="4"/>
      <c r="H261" s="4">
        <v>4253.0</v>
      </c>
      <c r="I261" s="4"/>
      <c r="J261" s="4">
        <v>3308.0</v>
      </c>
      <c r="K261" s="5"/>
      <c r="L261" s="5">
        <v>39701.454545454544</v>
      </c>
      <c r="M261" s="6"/>
      <c r="N261" s="5">
        <v>176387.9485</v>
      </c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ht="22.5" customHeight="1">
      <c r="A262" s="3">
        <v>45918.0</v>
      </c>
      <c r="B262" s="4">
        <v>5643.0</v>
      </c>
      <c r="C262" s="4"/>
      <c r="D262" s="4">
        <v>5173.0</v>
      </c>
      <c r="E262" s="4"/>
      <c r="F262" s="4">
        <v>4937.863636363637</v>
      </c>
      <c r="G262" s="4"/>
      <c r="H262" s="4">
        <v>4232.0</v>
      </c>
      <c r="I262" s="4"/>
      <c r="J262" s="4">
        <v>3292.0</v>
      </c>
      <c r="K262" s="5"/>
      <c r="L262" s="5">
        <v>39502.909090909096</v>
      </c>
      <c r="M262" s="6"/>
      <c r="N262" s="5">
        <v>175517.0505</v>
      </c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ht="22.5" customHeight="1">
      <c r="A263" s="3">
        <v>45919.0</v>
      </c>
      <c r="B263" s="4">
        <v>5708.0</v>
      </c>
      <c r="C263" s="4"/>
      <c r="D263" s="4">
        <v>5232.0</v>
      </c>
      <c r="E263" s="4"/>
      <c r="F263" s="4">
        <v>4994.181818181818</v>
      </c>
      <c r="G263" s="4"/>
      <c r="H263" s="4">
        <v>4281.0</v>
      </c>
      <c r="I263" s="4"/>
      <c r="J263" s="4">
        <v>3330.0</v>
      </c>
      <c r="K263" s="5"/>
      <c r="L263" s="5">
        <v>39953.454545454544</v>
      </c>
      <c r="M263" s="6"/>
      <c r="N263" s="5">
        <v>177538.778</v>
      </c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ht="22.5" customHeight="1">
      <c r="A264" s="3">
        <v>45920.0</v>
      </c>
      <c r="B264" s="4">
        <v>5708.0</v>
      </c>
      <c r="C264" s="4"/>
      <c r="D264" s="4">
        <v>5232.0</v>
      </c>
      <c r="E264" s="4"/>
      <c r="F264" s="4">
        <v>4994.181818181818</v>
      </c>
      <c r="G264" s="4"/>
      <c r="H264" s="4">
        <v>4281.0</v>
      </c>
      <c r="I264" s="4"/>
      <c r="J264" s="4">
        <v>3330.0</v>
      </c>
      <c r="K264" s="5"/>
      <c r="L264" s="5">
        <v>39953.454545454544</v>
      </c>
      <c r="M264" s="6"/>
      <c r="N264" s="5">
        <v>177538.778</v>
      </c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ht="22.5" customHeight="1">
      <c r="A265" s="3">
        <v>45921.0</v>
      </c>
      <c r="B265" s="4">
        <v>5796.0</v>
      </c>
      <c r="C265" s="4"/>
      <c r="D265" s="4">
        <v>5313.0</v>
      </c>
      <c r="E265" s="4"/>
      <c r="F265" s="4">
        <v>5071.5</v>
      </c>
      <c r="G265" s="4"/>
      <c r="H265" s="4">
        <v>4347.0</v>
      </c>
      <c r="I265" s="4"/>
      <c r="J265" s="4">
        <v>3381.0</v>
      </c>
      <c r="K265" s="5"/>
      <c r="L265" s="5">
        <v>40572.0</v>
      </c>
      <c r="M265" s="6"/>
      <c r="N265" s="5">
        <v>180275.886</v>
      </c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ht="22.5" customHeight="1">
      <c r="A266" s="3">
        <v>45922.0</v>
      </c>
      <c r="B266" s="4">
        <v>5796.0</v>
      </c>
      <c r="C266" s="4"/>
      <c r="D266" s="4">
        <v>5313.0</v>
      </c>
      <c r="E266" s="4"/>
      <c r="F266" s="4">
        <v>5071.5</v>
      </c>
      <c r="G266" s="4"/>
      <c r="H266" s="4">
        <v>4347.0</v>
      </c>
      <c r="I266" s="4"/>
      <c r="J266" s="4">
        <v>3381.0</v>
      </c>
      <c r="K266" s="5"/>
      <c r="L266" s="5">
        <v>40572.0</v>
      </c>
      <c r="M266" s="6"/>
      <c r="N266" s="5">
        <v>180275.886</v>
      </c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ht="22.5" customHeight="1">
      <c r="A267" s="3">
        <v>45923.0</v>
      </c>
      <c r="B267" s="4">
        <v>5825.0</v>
      </c>
      <c r="C267" s="4"/>
      <c r="D267" s="4">
        <v>5339.0</v>
      </c>
      <c r="E267" s="4"/>
      <c r="F267" s="4">
        <v>5096.318181818182</v>
      </c>
      <c r="G267" s="4"/>
      <c r="H267" s="4">
        <v>4369.0</v>
      </c>
      <c r="I267" s="4"/>
      <c r="J267" s="4">
        <v>3398.0</v>
      </c>
      <c r="K267" s="5"/>
      <c r="L267" s="5">
        <v>40770.545454545456</v>
      </c>
      <c r="M267" s="6"/>
      <c r="N267" s="5">
        <v>181177.8875</v>
      </c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ht="22.5" customHeight="1">
      <c r="A268" s="3">
        <v>45924.0</v>
      </c>
      <c r="B268" s="4">
        <v>5798.0</v>
      </c>
      <c r="C268" s="4"/>
      <c r="D268" s="4">
        <v>5315.0</v>
      </c>
      <c r="E268" s="4"/>
      <c r="F268" s="4">
        <v>5073.409090909091</v>
      </c>
      <c r="G268" s="4"/>
      <c r="H268" s="4">
        <v>4349.0</v>
      </c>
      <c r="I268" s="4"/>
      <c r="J268" s="4">
        <v>3382.0</v>
      </c>
      <c r="K268" s="5"/>
      <c r="L268" s="5">
        <v>40587.27272727273</v>
      </c>
      <c r="M268" s="6"/>
      <c r="N268" s="5">
        <v>180338.093</v>
      </c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ht="22.5" customHeight="1">
      <c r="A269" s="3">
        <v>45925.0</v>
      </c>
      <c r="B269" s="4">
        <v>5802.0</v>
      </c>
      <c r="C269" s="4"/>
      <c r="D269" s="4">
        <v>5319.0</v>
      </c>
      <c r="E269" s="4"/>
      <c r="F269" s="4">
        <v>5077.227272727273</v>
      </c>
      <c r="G269" s="4"/>
      <c r="H269" s="4">
        <v>4352.0</v>
      </c>
      <c r="I269" s="4"/>
      <c r="J269" s="4">
        <v>3385.0</v>
      </c>
      <c r="K269" s="5"/>
      <c r="L269" s="5">
        <v>40617.818181818184</v>
      </c>
      <c r="M269" s="6"/>
      <c r="N269" s="5">
        <v>180462.507</v>
      </c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ht="22.5" customHeight="1">
      <c r="A270" s="3">
        <v>45926.0</v>
      </c>
      <c r="B270" s="4">
        <v>5817.0</v>
      </c>
      <c r="C270" s="4"/>
      <c r="D270" s="4">
        <v>5333.0</v>
      </c>
      <c r="E270" s="4"/>
      <c r="F270" s="4">
        <v>5090.590909090909</v>
      </c>
      <c r="G270" s="4"/>
      <c r="H270" s="4">
        <v>4363.0</v>
      </c>
      <c r="I270" s="4"/>
      <c r="J270" s="4">
        <v>3393.0</v>
      </c>
      <c r="K270" s="5"/>
      <c r="L270" s="5">
        <v>40724.72727272727</v>
      </c>
      <c r="M270" s="6"/>
      <c r="N270" s="5">
        <v>180929.0595</v>
      </c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ht="22.5" customHeight="1">
      <c r="A271" s="3">
        <v>45927.0</v>
      </c>
      <c r="B271" s="4">
        <v>5817.0</v>
      </c>
      <c r="C271" s="4"/>
      <c r="D271" s="4">
        <v>5333.0</v>
      </c>
      <c r="E271" s="4"/>
      <c r="F271" s="4">
        <v>5090.590909090909</v>
      </c>
      <c r="G271" s="4"/>
      <c r="H271" s="4">
        <v>4363.0</v>
      </c>
      <c r="I271" s="4"/>
      <c r="J271" s="4">
        <v>3393.0</v>
      </c>
      <c r="K271" s="5"/>
      <c r="L271" s="5">
        <v>40724.72727272727</v>
      </c>
      <c r="M271" s="6"/>
      <c r="N271" s="5">
        <v>180929.0595</v>
      </c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ht="22.5" customHeight="1">
      <c r="A272" s="3">
        <v>45928.0</v>
      </c>
      <c r="B272" s="4">
        <v>5913.0</v>
      </c>
      <c r="C272" s="4"/>
      <c r="D272" s="4">
        <v>5420.0</v>
      </c>
      <c r="E272" s="4"/>
      <c r="F272" s="4">
        <v>5173.636363636364</v>
      </c>
      <c r="G272" s="4"/>
      <c r="H272" s="4">
        <v>4435.0</v>
      </c>
      <c r="I272" s="4"/>
      <c r="J272" s="4">
        <v>3449.0</v>
      </c>
      <c r="K272" s="5"/>
      <c r="L272" s="5">
        <v>41389.09090909091</v>
      </c>
      <c r="M272" s="6"/>
      <c r="N272" s="5">
        <v>183914.9955</v>
      </c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ht="22.5" customHeight="1">
      <c r="A273" s="3">
        <v>45929.0</v>
      </c>
      <c r="B273" s="4">
        <v>5913.0</v>
      </c>
      <c r="C273" s="4"/>
      <c r="D273" s="4">
        <v>5420.0</v>
      </c>
      <c r="E273" s="4"/>
      <c r="F273" s="4">
        <v>5173.636363636364</v>
      </c>
      <c r="G273" s="4"/>
      <c r="H273" s="4">
        <v>4435.0</v>
      </c>
      <c r="I273" s="4"/>
      <c r="J273" s="4">
        <v>3449.0</v>
      </c>
      <c r="K273" s="5"/>
      <c r="L273" s="5">
        <v>41389.09090909091</v>
      </c>
      <c r="M273" s="6"/>
      <c r="N273" s="5">
        <v>183914.9955</v>
      </c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ht="22.5" customHeight="1">
      <c r="A274" s="3">
        <v>45930.0</v>
      </c>
      <c r="B274" s="4">
        <v>5938.0</v>
      </c>
      <c r="C274" s="4"/>
      <c r="D274" s="4">
        <v>5443.0</v>
      </c>
      <c r="E274" s="4"/>
      <c r="F274" s="4">
        <v>5195.590909090909</v>
      </c>
      <c r="G274" s="4"/>
      <c r="H274" s="4">
        <v>4453.0</v>
      </c>
      <c r="I274" s="4"/>
      <c r="J274" s="4">
        <v>3464.0</v>
      </c>
      <c r="K274" s="5"/>
      <c r="L274" s="5">
        <v>41564.72727272727</v>
      </c>
      <c r="M274" s="6"/>
      <c r="N274" s="5">
        <v>184692.583</v>
      </c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ht="22.5" customHeight="1">
      <c r="A275" s="3">
        <v>45931.0</v>
      </c>
      <c r="B275" s="4">
        <v>5938.0</v>
      </c>
      <c r="C275" s="4"/>
      <c r="D275" s="4">
        <v>5443.0</v>
      </c>
      <c r="E275" s="4"/>
      <c r="F275" s="4">
        <v>5195.590909090909</v>
      </c>
      <c r="G275" s="4"/>
      <c r="H275" s="4">
        <v>4454.0</v>
      </c>
      <c r="I275" s="4"/>
      <c r="J275" s="4">
        <v>3464.0</v>
      </c>
      <c r="K275" s="5"/>
      <c r="L275" s="5">
        <v>41564.72727272727</v>
      </c>
      <c r="M275" s="6"/>
      <c r="N275" s="5">
        <v>184692.583</v>
      </c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ht="22.5" customHeight="1">
      <c r="A276" s="3">
        <v>45932.0</v>
      </c>
      <c r="B276" s="4">
        <v>5917.0</v>
      </c>
      <c r="C276" s="4"/>
      <c r="D276" s="4">
        <v>5424.0</v>
      </c>
      <c r="E276" s="4"/>
      <c r="F276" s="4">
        <v>5177.454545454546</v>
      </c>
      <c r="G276" s="4"/>
      <c r="H276" s="4">
        <v>4438.0</v>
      </c>
      <c r="I276" s="4"/>
      <c r="J276" s="4">
        <v>3452.0</v>
      </c>
      <c r="K276" s="5"/>
      <c r="L276" s="5">
        <v>41419.63636363637</v>
      </c>
      <c r="M276" s="6"/>
      <c r="N276" s="5">
        <v>184039.4095</v>
      </c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ht="22.5" customHeight="1">
      <c r="A277" s="3">
        <v>45933.0</v>
      </c>
      <c r="B277" s="4">
        <v>5964.0</v>
      </c>
      <c r="C277" s="4"/>
      <c r="D277" s="4">
        <v>5467.0</v>
      </c>
      <c r="E277" s="4"/>
      <c r="F277" s="4">
        <v>5218.5</v>
      </c>
      <c r="G277" s="4"/>
      <c r="H277" s="4">
        <v>4473.0</v>
      </c>
      <c r="I277" s="4"/>
      <c r="J277" s="4">
        <v>3479.0</v>
      </c>
      <c r="K277" s="5"/>
      <c r="L277" s="5">
        <v>41748.0</v>
      </c>
      <c r="M277" s="6"/>
      <c r="N277" s="5">
        <v>185501.274</v>
      </c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ht="22.5" customHeight="1">
      <c r="A278" s="3">
        <v>45934.0</v>
      </c>
      <c r="B278" s="4">
        <v>5964.0</v>
      </c>
      <c r="C278" s="4"/>
      <c r="D278" s="4">
        <v>5467.0</v>
      </c>
      <c r="E278" s="4"/>
      <c r="F278" s="4">
        <v>5218.5</v>
      </c>
      <c r="G278" s="4"/>
      <c r="H278" s="4">
        <v>4473.0</v>
      </c>
      <c r="I278" s="4"/>
      <c r="J278" s="4">
        <v>3479.0</v>
      </c>
      <c r="K278" s="5"/>
      <c r="L278" s="5">
        <v>41748.0</v>
      </c>
      <c r="M278" s="6"/>
      <c r="N278" s="5">
        <v>185501.274</v>
      </c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ht="22.5" customHeight="1">
      <c r="A279" s="3">
        <v>45935.0</v>
      </c>
      <c r="B279" s="4">
        <v>6078.0</v>
      </c>
      <c r="C279" s="4"/>
      <c r="D279" s="4">
        <v>5572.0</v>
      </c>
      <c r="E279" s="4"/>
      <c r="F279" s="4">
        <v>5318.727272727273</v>
      </c>
      <c r="G279" s="4"/>
      <c r="H279" s="4">
        <v>4559.0</v>
      </c>
      <c r="I279" s="4"/>
      <c r="J279" s="4">
        <v>3546.0</v>
      </c>
      <c r="K279" s="5"/>
      <c r="L279" s="5">
        <v>42549.818181818184</v>
      </c>
      <c r="M279" s="6"/>
      <c r="N279" s="5">
        <v>189047.073</v>
      </c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ht="22.5" customHeight="1">
      <c r="A280" s="3">
        <v>45936.0</v>
      </c>
      <c r="B280" s="4">
        <v>6078.0</v>
      </c>
      <c r="C280" s="4"/>
      <c r="D280" s="4">
        <v>5572.0</v>
      </c>
      <c r="E280" s="4"/>
      <c r="F280" s="4">
        <v>5318.727272727273</v>
      </c>
      <c r="G280" s="4"/>
      <c r="H280" s="4">
        <v>4559.0</v>
      </c>
      <c r="I280" s="4"/>
      <c r="J280" s="4">
        <v>3546.0</v>
      </c>
      <c r="K280" s="5"/>
      <c r="L280" s="5">
        <v>42549.818181818184</v>
      </c>
      <c r="M280" s="6"/>
      <c r="N280" s="5">
        <v>189047.073</v>
      </c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ht="22.5" customHeight="1">
      <c r="A281" s="3">
        <v>45937.0</v>
      </c>
      <c r="B281" s="4">
        <v>6104.0</v>
      </c>
      <c r="C281" s="4"/>
      <c r="D281" s="4">
        <v>5596.0</v>
      </c>
      <c r="E281" s="4"/>
      <c r="F281" s="4">
        <v>5341.636363636364</v>
      </c>
      <c r="G281" s="4"/>
      <c r="H281" s="4">
        <v>4578.0</v>
      </c>
      <c r="I281" s="4"/>
      <c r="J281" s="4">
        <v>3561.0</v>
      </c>
      <c r="K281" s="5"/>
      <c r="L281" s="5">
        <v>42733.09090909091</v>
      </c>
      <c r="M281" s="6"/>
      <c r="N281" s="5">
        <v>189855.764</v>
      </c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ht="22.5" customHeight="1">
      <c r="A282" s="3">
        <v>45938.0</v>
      </c>
      <c r="B282" s="4">
        <v>6156.0</v>
      </c>
      <c r="C282" s="4"/>
      <c r="D282" s="4">
        <v>5643.0</v>
      </c>
      <c r="E282" s="4"/>
      <c r="F282" s="4">
        <v>5386.5</v>
      </c>
      <c r="G282" s="4"/>
      <c r="H282" s="4">
        <v>4617.0</v>
      </c>
      <c r="I282" s="4"/>
      <c r="J282" s="4">
        <v>3591.0</v>
      </c>
      <c r="K282" s="5"/>
      <c r="L282" s="5">
        <v>43092.0</v>
      </c>
      <c r="M282" s="6"/>
      <c r="N282" s="5">
        <v>191473.146</v>
      </c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ht="22.5" customHeight="1">
      <c r="A283" s="3">
        <v>45939.0</v>
      </c>
      <c r="B283" s="4">
        <v>6075.0</v>
      </c>
      <c r="C283" s="4"/>
      <c r="D283" s="4">
        <v>5568.0</v>
      </c>
      <c r="E283" s="4"/>
      <c r="F283" s="4">
        <v>5314.909090909091</v>
      </c>
      <c r="G283" s="4"/>
      <c r="H283" s="4">
        <v>4556.0</v>
      </c>
      <c r="I283" s="4"/>
      <c r="J283" s="4">
        <v>3543.0</v>
      </c>
      <c r="K283" s="5"/>
      <c r="L283" s="5">
        <v>42519.27272727273</v>
      </c>
      <c r="M283" s="6"/>
      <c r="N283" s="5">
        <v>188953.7625</v>
      </c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ht="22.5" customHeight="1">
      <c r="A284" s="8">
        <v>45940.0</v>
      </c>
      <c r="B284" s="4">
        <v>6137.0</v>
      </c>
      <c r="C284" s="4"/>
      <c r="D284" s="4">
        <v>5626.0</v>
      </c>
      <c r="E284" s="4"/>
      <c r="F284" s="4">
        <v>5370.272727272728</v>
      </c>
      <c r="G284" s="4"/>
      <c r="H284" s="4">
        <v>4603.0</v>
      </c>
      <c r="I284" s="4"/>
      <c r="J284" s="4">
        <v>3580.0</v>
      </c>
      <c r="K284" s="5"/>
      <c r="L284" s="5">
        <v>42962.18181818182</v>
      </c>
      <c r="M284" s="6"/>
      <c r="N284" s="5">
        <v>190882.1795</v>
      </c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ht="22.5" customHeight="1">
      <c r="A285" s="8">
        <v>45941.0</v>
      </c>
      <c r="B285" s="4">
        <v>6137.0</v>
      </c>
      <c r="C285" s="4"/>
      <c r="D285" s="4">
        <v>5626.0</v>
      </c>
      <c r="E285" s="4"/>
      <c r="F285" s="4">
        <v>5370.272727272728</v>
      </c>
      <c r="G285" s="4"/>
      <c r="H285" s="4">
        <v>4603.0</v>
      </c>
      <c r="I285" s="4"/>
      <c r="J285" s="4">
        <v>3580.0</v>
      </c>
      <c r="K285" s="5"/>
      <c r="L285" s="5">
        <v>42962.18181818182</v>
      </c>
      <c r="M285" s="6"/>
      <c r="N285" s="5">
        <v>190882.1795</v>
      </c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ht="22.5" customHeight="1">
      <c r="A286" s="8">
        <v>45942.0</v>
      </c>
      <c r="B286" s="4">
        <v>6302.0</v>
      </c>
      <c r="C286" s="4"/>
      <c r="D286" s="4">
        <v>5777.0</v>
      </c>
      <c r="E286" s="4"/>
      <c r="F286" s="4">
        <v>5514.409090909091</v>
      </c>
      <c r="G286" s="4"/>
      <c r="H286" s="4">
        <v>4727.0</v>
      </c>
      <c r="I286" s="4"/>
      <c r="J286" s="4">
        <v>3676.0</v>
      </c>
      <c r="K286" s="5"/>
      <c r="L286" s="5">
        <v>44115.27272727273</v>
      </c>
      <c r="M286" s="6"/>
      <c r="N286" s="5">
        <v>196014.257</v>
      </c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ht="22.5" customHeight="1">
      <c r="A287" s="8">
        <v>45943.0</v>
      </c>
      <c r="B287" s="4">
        <v>6302.0</v>
      </c>
      <c r="C287" s="4"/>
      <c r="D287" s="4">
        <v>5777.0</v>
      </c>
      <c r="E287" s="4"/>
      <c r="F287" s="4">
        <v>5514.409090909091</v>
      </c>
      <c r="G287" s="4"/>
      <c r="H287" s="4">
        <v>4727.0</v>
      </c>
      <c r="I287" s="4"/>
      <c r="J287" s="4">
        <v>3676.0</v>
      </c>
      <c r="K287" s="5"/>
      <c r="L287" s="5">
        <v>44115.27272727273</v>
      </c>
      <c r="M287" s="6"/>
      <c r="N287" s="5">
        <v>196014.257</v>
      </c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ht="22.5" customHeight="1">
      <c r="A288" s="8">
        <v>45944.0</v>
      </c>
      <c r="B288" s="4">
        <v>6363.0</v>
      </c>
      <c r="C288" s="4"/>
      <c r="D288" s="4">
        <v>5832.0</v>
      </c>
      <c r="E288" s="4"/>
      <c r="F288" s="4">
        <v>5566.909090909091</v>
      </c>
      <c r="G288" s="4"/>
      <c r="H288" s="4">
        <v>4772.0</v>
      </c>
      <c r="I288" s="4"/>
      <c r="J288" s="4">
        <v>3711.0</v>
      </c>
      <c r="K288" s="5"/>
      <c r="L288" s="5">
        <v>44535.27272727273</v>
      </c>
      <c r="M288" s="6"/>
      <c r="N288" s="5">
        <v>197911.5705</v>
      </c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ht="22.5" customHeight="1">
      <c r="A289" s="8">
        <v>45945.0</v>
      </c>
      <c r="B289" s="4">
        <v>6445.0</v>
      </c>
      <c r="C289" s="4"/>
      <c r="D289" s="4">
        <v>5908.0</v>
      </c>
      <c r="E289" s="4"/>
      <c r="F289" s="4">
        <v>5639.454545454546</v>
      </c>
      <c r="G289" s="4"/>
      <c r="H289" s="4">
        <v>4834.0</v>
      </c>
      <c r="I289" s="4"/>
      <c r="J289" s="4">
        <v>3760.0</v>
      </c>
      <c r="K289" s="5"/>
      <c r="L289" s="5">
        <v>45115.63636363637</v>
      </c>
      <c r="M289" s="6"/>
      <c r="N289" s="5">
        <v>200462.0575</v>
      </c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ht="22.5" customHeight="1">
      <c r="A290" s="8">
        <v>45946.0</v>
      </c>
      <c r="B290" s="4">
        <v>6605.0</v>
      </c>
      <c r="C290" s="4"/>
      <c r="D290" s="4">
        <v>6055.0</v>
      </c>
      <c r="E290" s="4"/>
      <c r="F290" s="4">
        <v>5779.772727272728</v>
      </c>
      <c r="G290" s="4"/>
      <c r="H290" s="4">
        <v>4954.0</v>
      </c>
      <c r="I290" s="4"/>
      <c r="J290" s="4">
        <v>3853.0</v>
      </c>
      <c r="K290" s="5"/>
      <c r="L290" s="5">
        <v>46238.18181818182</v>
      </c>
      <c r="M290" s="6"/>
      <c r="N290" s="5">
        <v>205438.6175</v>
      </c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ht="22.5" customHeight="1">
      <c r="A291" s="8">
        <v>45947.0</v>
      </c>
      <c r="B291" s="4">
        <v>6505.0</v>
      </c>
      <c r="C291" s="4"/>
      <c r="D291" s="4">
        <v>5963.0</v>
      </c>
      <c r="E291" s="4"/>
      <c r="F291" s="4">
        <v>5691.954545454546</v>
      </c>
      <c r="G291" s="4"/>
      <c r="H291" s="4">
        <v>4879.0</v>
      </c>
      <c r="I291" s="4"/>
      <c r="J291" s="4">
        <v>3794.0</v>
      </c>
      <c r="K291" s="5"/>
      <c r="L291" s="5">
        <v>45535.63636363637</v>
      </c>
      <c r="M291" s="6"/>
      <c r="N291" s="5">
        <v>202328.26750000002</v>
      </c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ht="22.5" customHeight="1">
      <c r="A292" s="8">
        <v>45948.0</v>
      </c>
      <c r="B292" s="4">
        <v>6505.0</v>
      </c>
      <c r="C292" s="4"/>
      <c r="D292" s="4">
        <v>5963.0</v>
      </c>
      <c r="E292" s="4"/>
      <c r="F292" s="4">
        <v>5691.954545454546</v>
      </c>
      <c r="G292" s="4"/>
      <c r="H292" s="4">
        <v>4879.0</v>
      </c>
      <c r="I292" s="4"/>
      <c r="J292" s="4">
        <v>3794.0</v>
      </c>
      <c r="K292" s="5"/>
      <c r="L292" s="5">
        <v>45535.63636363637</v>
      </c>
      <c r="M292" s="6"/>
      <c r="N292" s="5">
        <v>202328.26750000002</v>
      </c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ht="22.5" customHeight="1">
      <c r="A293" s="8">
        <v>45949.0</v>
      </c>
      <c r="B293" s="4">
        <v>6677.0</v>
      </c>
      <c r="C293" s="4"/>
      <c r="D293" s="4">
        <v>6121.0</v>
      </c>
      <c r="E293" s="4"/>
      <c r="F293" s="4">
        <v>5842.772727272728</v>
      </c>
      <c r="G293" s="4"/>
      <c r="H293" s="4">
        <v>5008.0</v>
      </c>
      <c r="I293" s="4"/>
      <c r="J293" s="4">
        <v>3895.0</v>
      </c>
      <c r="K293" s="5"/>
      <c r="L293" s="5">
        <v>46742.18181818182</v>
      </c>
      <c r="M293" s="6"/>
      <c r="N293" s="5">
        <v>207678.0695</v>
      </c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ht="22.5" customHeight="1">
      <c r="A294" s="8">
        <v>45950.0</v>
      </c>
      <c r="B294" s="4">
        <v>6677.0</v>
      </c>
      <c r="C294" s="4"/>
      <c r="D294" s="4">
        <v>6121.0</v>
      </c>
      <c r="E294" s="4"/>
      <c r="F294" s="4">
        <v>5842.772727272728</v>
      </c>
      <c r="G294" s="4"/>
      <c r="H294" s="4">
        <v>5008.0</v>
      </c>
      <c r="I294" s="4"/>
      <c r="J294" s="4">
        <v>3895.0</v>
      </c>
      <c r="K294" s="5"/>
      <c r="L294" s="5">
        <v>46742.18181818182</v>
      </c>
      <c r="M294" s="6"/>
      <c r="N294" s="5">
        <v>207678.0695</v>
      </c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ht="22.5" customHeight="1">
      <c r="A295" s="8">
        <v>45951.0</v>
      </c>
      <c r="B295" s="4">
        <v>6303.0</v>
      </c>
      <c r="C295" s="4"/>
      <c r="D295" s="4">
        <v>5778.0</v>
      </c>
      <c r="E295" s="4"/>
      <c r="F295" s="4">
        <v>5515.363636363637</v>
      </c>
      <c r="G295" s="4"/>
      <c r="H295" s="4">
        <v>4727.0</v>
      </c>
      <c r="I295" s="4"/>
      <c r="J295" s="4">
        <v>3677.0</v>
      </c>
      <c r="K295" s="5"/>
      <c r="L295" s="5">
        <v>44122.909090909096</v>
      </c>
      <c r="M295" s="6"/>
      <c r="N295" s="5">
        <v>196045.3605</v>
      </c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ht="22.5" customHeight="1">
      <c r="A296" s="8">
        <v>45952.0</v>
      </c>
      <c r="B296" s="4">
        <v>6276.0</v>
      </c>
      <c r="C296" s="4"/>
      <c r="D296" s="4">
        <v>5753.0</v>
      </c>
      <c r="E296" s="4"/>
      <c r="F296" s="4">
        <v>5491.5</v>
      </c>
      <c r="G296" s="4"/>
      <c r="H296" s="4">
        <v>4707.0</v>
      </c>
      <c r="I296" s="4"/>
      <c r="J296" s="4">
        <v>3661.0</v>
      </c>
      <c r="K296" s="5"/>
      <c r="L296" s="5">
        <v>43932.0</v>
      </c>
      <c r="M296" s="6"/>
      <c r="N296" s="5">
        <v>195205.566</v>
      </c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ht="22.5" customHeight="1">
      <c r="A297" s="8">
        <v>45953.0</v>
      </c>
      <c r="B297" s="4">
        <v>6307.0</v>
      </c>
      <c r="C297" s="4"/>
      <c r="D297" s="4">
        <v>5782.0</v>
      </c>
      <c r="E297" s="4"/>
      <c r="F297" s="4">
        <v>5519.181818181818</v>
      </c>
      <c r="G297" s="4"/>
      <c r="H297" s="4">
        <v>4730.0</v>
      </c>
      <c r="I297" s="4"/>
      <c r="J297" s="4">
        <v>3679.0</v>
      </c>
      <c r="K297" s="5"/>
      <c r="L297" s="5">
        <v>44153.454545454544</v>
      </c>
      <c r="M297" s="6"/>
      <c r="N297" s="5">
        <v>196169.7745</v>
      </c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ht="22.5" customHeight="1">
      <c r="A298" s="8">
        <v>45954.0</v>
      </c>
      <c r="B298" s="4">
        <v>6297.0</v>
      </c>
      <c r="C298" s="4"/>
      <c r="D298" s="4">
        <v>5772.0</v>
      </c>
      <c r="E298" s="4"/>
      <c r="F298" s="4">
        <v>5509.636363636364</v>
      </c>
      <c r="G298" s="4"/>
      <c r="H298" s="4">
        <v>4723.0</v>
      </c>
      <c r="I298" s="4"/>
      <c r="J298" s="4">
        <v>3673.0</v>
      </c>
      <c r="K298" s="5"/>
      <c r="L298" s="5">
        <v>44077.09090909091</v>
      </c>
      <c r="M298" s="6"/>
      <c r="N298" s="5">
        <v>195858.7395</v>
      </c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ht="22.5" customHeight="1">
      <c r="A299" s="8">
        <v>45955.0</v>
      </c>
      <c r="B299" s="4">
        <v>6297.0</v>
      </c>
      <c r="C299" s="4"/>
      <c r="D299" s="4">
        <v>5772.0</v>
      </c>
      <c r="E299" s="4"/>
      <c r="F299" s="4">
        <v>5509.636363636364</v>
      </c>
      <c r="G299" s="4"/>
      <c r="H299" s="4">
        <v>4723.0</v>
      </c>
      <c r="I299" s="4"/>
      <c r="J299" s="4">
        <v>3673.0</v>
      </c>
      <c r="K299" s="5"/>
      <c r="L299" s="5">
        <v>44077.09090909091</v>
      </c>
      <c r="M299" s="6"/>
      <c r="N299" s="5">
        <v>195858.7395</v>
      </c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ht="22.5" customHeight="1">
      <c r="A300" s="8">
        <v>45956.0</v>
      </c>
      <c r="B300" s="4">
        <v>6089.0</v>
      </c>
      <c r="C300" s="4"/>
      <c r="D300" s="4">
        <v>5581.0</v>
      </c>
      <c r="E300" s="4"/>
      <c r="F300" s="4">
        <v>5327.318181818182</v>
      </c>
      <c r="G300" s="4"/>
      <c r="H300" s="4">
        <v>4567.0</v>
      </c>
      <c r="I300" s="4"/>
      <c r="J300" s="4">
        <v>3552.0</v>
      </c>
      <c r="K300" s="5"/>
      <c r="L300" s="5">
        <v>42618.545454545456</v>
      </c>
      <c r="M300" s="6"/>
      <c r="N300" s="5">
        <v>189389.2115</v>
      </c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ht="22.5" customHeight="1">
      <c r="A301" s="8">
        <v>45957.0</v>
      </c>
      <c r="B301" s="4">
        <v>6089.0</v>
      </c>
      <c r="C301" s="4"/>
      <c r="D301" s="4">
        <v>5581.0</v>
      </c>
      <c r="E301" s="4"/>
      <c r="F301" s="4">
        <v>5327.318181818182</v>
      </c>
      <c r="G301" s="4"/>
      <c r="H301" s="4">
        <v>4567.0</v>
      </c>
      <c r="I301" s="4"/>
      <c r="J301" s="4">
        <v>3552.0</v>
      </c>
      <c r="K301" s="5"/>
      <c r="L301" s="5">
        <v>42618.545454545456</v>
      </c>
      <c r="M301" s="6"/>
      <c r="N301" s="5">
        <v>189389.2115</v>
      </c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ht="22.5" customHeight="1">
      <c r="A302" s="8">
        <v>45958.0</v>
      </c>
      <c r="B302" s="4">
        <v>6010.0</v>
      </c>
      <c r="C302" s="4"/>
      <c r="D302" s="4">
        <v>5509.0</v>
      </c>
      <c r="E302" s="4"/>
      <c r="F302" s="4">
        <v>5258.590909090909</v>
      </c>
      <c r="G302" s="4"/>
      <c r="H302" s="4">
        <v>4508.0</v>
      </c>
      <c r="I302" s="4"/>
      <c r="J302" s="4">
        <v>3506.0</v>
      </c>
      <c r="K302" s="5"/>
      <c r="L302" s="5">
        <v>42068.72727272727</v>
      </c>
      <c r="M302" s="6"/>
      <c r="N302" s="5">
        <v>186932.035</v>
      </c>
      <c r="O302" s="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ht="22.5" customHeight="1">
      <c r="A303" s="8">
        <v>45959.0</v>
      </c>
      <c r="B303" s="4">
        <v>5988.0</v>
      </c>
      <c r="C303" s="4"/>
      <c r="D303" s="4">
        <v>5489.0</v>
      </c>
      <c r="E303" s="4"/>
      <c r="F303" s="4">
        <v>5239.5</v>
      </c>
      <c r="G303" s="4"/>
      <c r="H303" s="4">
        <v>4491.0</v>
      </c>
      <c r="I303" s="4"/>
      <c r="J303" s="4">
        <v>3493.0</v>
      </c>
      <c r="K303" s="5"/>
      <c r="L303" s="5">
        <v>41916.0</v>
      </c>
      <c r="M303" s="6"/>
      <c r="N303" s="5">
        <v>186247.758</v>
      </c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ht="22.5" customHeight="1">
      <c r="A304" s="8">
        <v>45960.0</v>
      </c>
      <c r="B304" s="4">
        <v>6104.0</v>
      </c>
      <c r="C304" s="4"/>
      <c r="D304" s="4">
        <v>5596.0</v>
      </c>
      <c r="E304" s="4"/>
      <c r="F304" s="4">
        <v>5341.636363636364</v>
      </c>
      <c r="G304" s="4"/>
      <c r="H304" s="4">
        <v>4578.0</v>
      </c>
      <c r="I304" s="4"/>
      <c r="J304" s="4">
        <v>3561.0</v>
      </c>
      <c r="K304" s="5"/>
      <c r="L304" s="5">
        <v>42733.09090909091</v>
      </c>
      <c r="M304" s="6"/>
      <c r="N304" s="5">
        <v>189855.764</v>
      </c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ht="22.5" customHeight="1">
      <c r="A305" s="8">
        <v>45961.0</v>
      </c>
      <c r="B305" s="4">
        <v>6056.0</v>
      </c>
      <c r="C305" s="4"/>
      <c r="D305" s="4">
        <v>5551.0</v>
      </c>
      <c r="E305" s="4"/>
      <c r="F305" s="4">
        <v>5298.681818181818</v>
      </c>
      <c r="G305" s="4"/>
      <c r="H305" s="4">
        <v>4542.0</v>
      </c>
      <c r="I305" s="4"/>
      <c r="J305" s="4">
        <v>3533.0</v>
      </c>
      <c r="K305" s="5"/>
      <c r="L305" s="5">
        <v>42389.454545454544</v>
      </c>
      <c r="M305" s="6"/>
      <c r="N305" s="5">
        <v>188362.796</v>
      </c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ht="22.5" customHeight="1">
      <c r="A306" s="3">
        <v>45962.0</v>
      </c>
      <c r="B306" s="4">
        <v>6056.0</v>
      </c>
      <c r="C306" s="4"/>
      <c r="D306" s="4">
        <v>5551.0</v>
      </c>
      <c r="E306" s="4"/>
      <c r="F306" s="4">
        <v>5298.681818181818</v>
      </c>
      <c r="G306" s="4"/>
      <c r="H306" s="4">
        <v>4542.0</v>
      </c>
      <c r="I306" s="4"/>
      <c r="J306" s="4">
        <v>3533.0</v>
      </c>
      <c r="K306" s="5"/>
      <c r="L306" s="5">
        <v>42389.454545454544</v>
      </c>
      <c r="M306" s="6"/>
      <c r="N306" s="5">
        <v>188362.796</v>
      </c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ht="22.5" customHeight="1">
      <c r="A307" s="3">
        <v>45963.0</v>
      </c>
      <c r="B307" s="4">
        <v>6064.0</v>
      </c>
      <c r="C307" s="4"/>
      <c r="D307" s="4">
        <v>5558.0</v>
      </c>
      <c r="E307" s="4"/>
      <c r="F307" s="4">
        <v>5305.363636363637</v>
      </c>
      <c r="G307" s="4"/>
      <c r="H307" s="4">
        <v>4548.0</v>
      </c>
      <c r="I307" s="4"/>
      <c r="J307" s="4">
        <v>3537.0</v>
      </c>
      <c r="K307" s="5"/>
      <c r="L307" s="5">
        <v>42442.909090909096</v>
      </c>
      <c r="M307" s="6"/>
      <c r="N307" s="5">
        <v>188611.624</v>
      </c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ht="22.5" customHeight="1">
      <c r="A308" s="3">
        <v>45964.0</v>
      </c>
      <c r="B308" s="4">
        <v>6064.0</v>
      </c>
      <c r="C308" s="4"/>
      <c r="D308" s="4">
        <v>5558.0</v>
      </c>
      <c r="E308" s="4"/>
      <c r="F308" s="4">
        <v>5305.363636363637</v>
      </c>
      <c r="G308" s="4"/>
      <c r="H308" s="4">
        <v>4548.0</v>
      </c>
      <c r="I308" s="4"/>
      <c r="J308" s="4">
        <v>3537.0</v>
      </c>
      <c r="K308" s="5"/>
      <c r="L308" s="5">
        <v>42442.909090909096</v>
      </c>
      <c r="M308" s="6"/>
      <c r="N308" s="5">
        <v>188611.624</v>
      </c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ht="22.5" customHeight="1">
      <c r="A309" s="3">
        <v>45965.0</v>
      </c>
      <c r="B309" s="4">
        <v>5989.0</v>
      </c>
      <c r="C309" s="4"/>
      <c r="D309" s="4">
        <v>5490.0</v>
      </c>
      <c r="E309" s="4"/>
      <c r="F309" s="4">
        <v>5240.454545454546</v>
      </c>
      <c r="G309" s="4"/>
      <c r="H309" s="4">
        <v>4492.0</v>
      </c>
      <c r="I309" s="4"/>
      <c r="J309" s="4">
        <v>3494.0</v>
      </c>
      <c r="K309" s="5"/>
      <c r="L309" s="5">
        <v>41923.63636363637</v>
      </c>
      <c r="M309" s="6"/>
      <c r="N309" s="5">
        <v>186278.8615</v>
      </c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ht="22.5" customHeight="1">
      <c r="A310" s="3">
        <v>45966.0</v>
      </c>
      <c r="B310" s="4">
        <v>6053.0</v>
      </c>
      <c r="C310" s="4"/>
      <c r="D310" s="4">
        <v>5548.0</v>
      </c>
      <c r="E310" s="4"/>
      <c r="F310" s="4">
        <v>5295.818181818182</v>
      </c>
      <c r="G310" s="4"/>
      <c r="H310" s="4">
        <v>4540.0</v>
      </c>
      <c r="I310" s="4"/>
      <c r="J310" s="4">
        <v>3531.0</v>
      </c>
      <c r="K310" s="5"/>
      <c r="L310" s="5">
        <v>42366.545454545456</v>
      </c>
      <c r="M310" s="6"/>
      <c r="N310" s="5">
        <v>188269.4855</v>
      </c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ht="22.5" customHeight="1">
      <c r="A311" s="3">
        <v>45967.0</v>
      </c>
      <c r="B311" s="4">
        <v>6058.0</v>
      </c>
      <c r="C311" s="4"/>
      <c r="D311" s="4">
        <v>5554.0</v>
      </c>
      <c r="E311" s="4"/>
      <c r="F311" s="4">
        <v>5301.545454545455</v>
      </c>
      <c r="G311" s="4"/>
      <c r="H311" s="4">
        <v>4544.0</v>
      </c>
      <c r="I311" s="4"/>
      <c r="J311" s="4">
        <v>3534.0</v>
      </c>
      <c r="K311" s="5"/>
      <c r="L311" s="5">
        <v>42412.36363636364</v>
      </c>
      <c r="M311" s="6"/>
      <c r="N311" s="5">
        <v>188425.003</v>
      </c>
      <c r="O311" s="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ht="22.5" customHeight="1">
      <c r="A312" s="3">
        <v>45968.0</v>
      </c>
      <c r="B312" s="4">
        <v>6088.0</v>
      </c>
      <c r="C312" s="4"/>
      <c r="D312" s="4">
        <v>5581.0</v>
      </c>
      <c r="E312" s="4"/>
      <c r="F312" s="4">
        <v>5327.318181818182</v>
      </c>
      <c r="G312" s="4"/>
      <c r="H312" s="4">
        <v>4566.0</v>
      </c>
      <c r="I312" s="4"/>
      <c r="J312" s="4">
        <v>3552.0</v>
      </c>
      <c r="K312" s="5"/>
      <c r="L312" s="5">
        <v>42618.545454545456</v>
      </c>
      <c r="M312" s="6"/>
      <c r="N312" s="5">
        <v>189358.108</v>
      </c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ht="22.5" customHeight="1">
      <c r="A313" s="3">
        <v>45969.0</v>
      </c>
      <c r="B313" s="4">
        <v>6088.0</v>
      </c>
      <c r="C313" s="4"/>
      <c r="D313" s="4">
        <v>5581.0</v>
      </c>
      <c r="E313" s="4"/>
      <c r="F313" s="4">
        <v>5327.318181818182</v>
      </c>
      <c r="G313" s="4"/>
      <c r="H313" s="4">
        <v>4566.0</v>
      </c>
      <c r="I313" s="4"/>
      <c r="J313" s="4">
        <v>3552.0</v>
      </c>
      <c r="K313" s="5"/>
      <c r="L313" s="5">
        <v>42618.545454545456</v>
      </c>
      <c r="M313" s="6"/>
      <c r="N313" s="5">
        <v>189358.108</v>
      </c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ht="22.5" customHeight="1">
      <c r="A314" s="3">
        <v>45970.0</v>
      </c>
      <c r="B314" s="4">
        <v>6261.0</v>
      </c>
      <c r="C314" s="4"/>
      <c r="D314" s="4">
        <v>5739.0</v>
      </c>
      <c r="E314" s="4"/>
      <c r="F314" s="4">
        <v>5478.136363636364</v>
      </c>
      <c r="G314" s="4"/>
      <c r="H314" s="4">
        <v>4696.0</v>
      </c>
      <c r="I314" s="4"/>
      <c r="J314" s="4">
        <v>3652.0</v>
      </c>
      <c r="K314" s="5"/>
      <c r="L314" s="5">
        <v>43825.09090909091</v>
      </c>
      <c r="M314" s="6"/>
      <c r="N314" s="5">
        <v>194739.0135</v>
      </c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ht="22.5" customHeight="1">
      <c r="A315" s="8">
        <v>45971.0</v>
      </c>
      <c r="B315" s="4">
        <v>6261.0</v>
      </c>
      <c r="C315" s="4"/>
      <c r="D315" s="4">
        <v>5739.0</v>
      </c>
      <c r="E315" s="4"/>
      <c r="F315" s="4">
        <v>5478.136363636364</v>
      </c>
      <c r="G315" s="4"/>
      <c r="H315" s="4">
        <v>4696.0</v>
      </c>
      <c r="I315" s="4"/>
      <c r="J315" s="4">
        <v>3652.0</v>
      </c>
      <c r="K315" s="5"/>
      <c r="L315" s="5">
        <v>43825.09090909091</v>
      </c>
      <c r="M315" s="6"/>
      <c r="N315" s="5">
        <v>194739.0135</v>
      </c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ht="22.5" customHeight="1">
      <c r="A316" s="8">
        <v>45972.0</v>
      </c>
      <c r="B316" s="4">
        <v>6279.0</v>
      </c>
      <c r="C316" s="4"/>
      <c r="D316" s="4">
        <v>5756.0</v>
      </c>
      <c r="E316" s="4"/>
      <c r="F316" s="4">
        <v>5494.363636363637</v>
      </c>
      <c r="G316" s="4"/>
      <c r="H316" s="4">
        <v>4709.0</v>
      </c>
      <c r="I316" s="4"/>
      <c r="J316" s="4">
        <v>3663.0</v>
      </c>
      <c r="K316" s="5"/>
      <c r="L316" s="5">
        <v>43954.909090909096</v>
      </c>
      <c r="M316" s="6"/>
      <c r="N316" s="5">
        <v>195298.8765</v>
      </c>
      <c r="O316" s="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ht="22.5" customHeight="1">
      <c r="A317" s="8">
        <v>45973.0</v>
      </c>
      <c r="B317" s="4">
        <v>6368.0</v>
      </c>
      <c r="C317" s="4"/>
      <c r="D317" s="4">
        <v>5837.0</v>
      </c>
      <c r="E317" s="4"/>
      <c r="F317" s="4">
        <v>5571.681818181818</v>
      </c>
      <c r="G317" s="4"/>
      <c r="H317" s="4">
        <v>4776.0</v>
      </c>
      <c r="I317" s="4"/>
      <c r="J317" s="4">
        <v>3715.0</v>
      </c>
      <c r="K317" s="5"/>
      <c r="L317" s="5">
        <v>44573.454545454544</v>
      </c>
      <c r="M317" s="6"/>
      <c r="N317" s="5">
        <v>198067.088</v>
      </c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ht="22.5" customHeight="1">
      <c r="A318" s="8">
        <v>45974.0</v>
      </c>
      <c r="B318" s="4">
        <v>6341.0</v>
      </c>
      <c r="C318" s="4"/>
      <c r="D318" s="4">
        <v>5813.0</v>
      </c>
      <c r="E318" s="4"/>
      <c r="F318" s="4">
        <v>5548.772727272728</v>
      </c>
      <c r="G318" s="4"/>
      <c r="H318" s="4">
        <v>4756.0</v>
      </c>
      <c r="I318" s="4"/>
      <c r="J318" s="4">
        <v>3699.0</v>
      </c>
      <c r="K318" s="5"/>
      <c r="L318" s="5">
        <v>44390.18181818182</v>
      </c>
      <c r="M318" s="6"/>
      <c r="N318" s="5">
        <v>197227.2935</v>
      </c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ht="22.5" customHeight="1">
      <c r="A319" s="8">
        <v>45975.0</v>
      </c>
      <c r="B319" s="4">
        <v>6192.0</v>
      </c>
      <c r="C319" s="4"/>
      <c r="D319" s="4">
        <v>5676.0</v>
      </c>
      <c r="E319" s="4"/>
      <c r="F319" s="4">
        <v>5418.0</v>
      </c>
      <c r="G319" s="4"/>
      <c r="H319" s="4">
        <v>4644.0</v>
      </c>
      <c r="I319" s="4"/>
      <c r="J319" s="4">
        <v>3612.0</v>
      </c>
      <c r="K319" s="5"/>
      <c r="L319" s="5">
        <v>43344.0</v>
      </c>
      <c r="M319" s="6"/>
      <c r="N319" s="5">
        <v>192592.872</v>
      </c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ht="22.5" customHeight="1">
      <c r="A320" s="8">
        <v>45976.0</v>
      </c>
      <c r="B320" s="4">
        <v>6192.0</v>
      </c>
      <c r="C320" s="4"/>
      <c r="D320" s="4">
        <v>5676.0</v>
      </c>
      <c r="E320" s="4"/>
      <c r="F320" s="4">
        <v>5418.0</v>
      </c>
      <c r="G320" s="4"/>
      <c r="H320" s="4">
        <v>4644.0</v>
      </c>
      <c r="I320" s="4"/>
      <c r="J320" s="4">
        <v>3612.0</v>
      </c>
      <c r="K320" s="5"/>
      <c r="L320" s="5">
        <v>43344.0</v>
      </c>
      <c r="M320" s="6"/>
      <c r="N320" s="5">
        <v>192592.872</v>
      </c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ht="22.5" customHeight="1">
      <c r="A321" s="8">
        <v>45977.0</v>
      </c>
      <c r="B321" s="4">
        <v>6123.0</v>
      </c>
      <c r="C321" s="4"/>
      <c r="D321" s="4">
        <v>5613.0</v>
      </c>
      <c r="E321" s="4"/>
      <c r="F321" s="4">
        <v>5357.863636363637</v>
      </c>
      <c r="G321" s="4"/>
      <c r="H321" s="4">
        <v>4592.0</v>
      </c>
      <c r="I321" s="4"/>
      <c r="J321" s="4">
        <v>3572.0</v>
      </c>
      <c r="K321" s="5"/>
      <c r="L321" s="5">
        <v>42862.909090909096</v>
      </c>
      <c r="M321" s="6"/>
      <c r="N321" s="5">
        <v>190446.7305</v>
      </c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ht="22.5" customHeight="1">
      <c r="A322" s="8">
        <v>45978.0</v>
      </c>
      <c r="B322" s="4">
        <v>6123.0</v>
      </c>
      <c r="C322" s="4"/>
      <c r="D322" s="4">
        <v>5613.0</v>
      </c>
      <c r="E322" s="4"/>
      <c r="F322" s="4">
        <v>5357.863636363637</v>
      </c>
      <c r="G322" s="4"/>
      <c r="H322" s="4">
        <v>4592.0</v>
      </c>
      <c r="I322" s="4"/>
      <c r="J322" s="4">
        <v>3572.0</v>
      </c>
      <c r="K322" s="5"/>
      <c r="L322" s="5">
        <v>42862.909090909096</v>
      </c>
      <c r="M322" s="6"/>
      <c r="N322" s="5">
        <v>190446.7305</v>
      </c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ht="22.5" customHeight="1">
      <c r="A323" s="8">
        <v>45979.0</v>
      </c>
      <c r="B323" s="4">
        <v>6172.0</v>
      </c>
      <c r="C323" s="4"/>
      <c r="D323" s="4">
        <v>5658.0</v>
      </c>
      <c r="E323" s="4"/>
      <c r="F323" s="4">
        <v>5400.818181818182</v>
      </c>
      <c r="G323" s="4"/>
      <c r="H323" s="4">
        <v>4629.0</v>
      </c>
      <c r="I323" s="4"/>
      <c r="J323" s="4">
        <v>3601.0</v>
      </c>
      <c r="K323" s="5"/>
      <c r="L323" s="5">
        <v>43206.545454545456</v>
      </c>
      <c r="M323" s="6"/>
      <c r="N323" s="5">
        <v>191970.802</v>
      </c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ht="22.5" customHeight="1">
      <c r="A324" s="8">
        <v>45980.0</v>
      </c>
      <c r="B324" s="4">
        <v>6229.0</v>
      </c>
      <c r="C324" s="4"/>
      <c r="D324" s="4">
        <v>5710.0</v>
      </c>
      <c r="E324" s="4"/>
      <c r="F324" s="4">
        <v>5450.454545454546</v>
      </c>
      <c r="G324" s="4"/>
      <c r="H324" s="4">
        <v>4672.0</v>
      </c>
      <c r="I324" s="4"/>
      <c r="J324" s="4">
        <v>3634.0</v>
      </c>
      <c r="K324" s="5"/>
      <c r="L324" s="5">
        <v>43603.63636363637</v>
      </c>
      <c r="M324" s="6"/>
      <c r="N324" s="5">
        <v>193743.7015</v>
      </c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ht="22.5" customHeight="1">
      <c r="A325" s="8">
        <v>45981.0</v>
      </c>
      <c r="B325" s="4">
        <v>6217.0</v>
      </c>
      <c r="C325" s="4"/>
      <c r="D325" s="4">
        <v>5699.0</v>
      </c>
      <c r="E325" s="4"/>
      <c r="F325" s="4">
        <v>5439.954545454546</v>
      </c>
      <c r="G325" s="4"/>
      <c r="H325" s="4">
        <v>4663.0</v>
      </c>
      <c r="I325" s="4"/>
      <c r="J325" s="4">
        <v>3627.0</v>
      </c>
      <c r="K325" s="5"/>
      <c r="L325" s="5">
        <v>43519.63636363637</v>
      </c>
      <c r="M325" s="6"/>
      <c r="N325" s="5">
        <v>193370.4595</v>
      </c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ht="22.5" customHeight="1">
      <c r="A326" s="8">
        <v>45982.0</v>
      </c>
      <c r="B326" s="4">
        <v>6197.0</v>
      </c>
      <c r="C326" s="4"/>
      <c r="D326" s="4">
        <v>5681.0</v>
      </c>
      <c r="E326" s="4"/>
      <c r="F326" s="4">
        <v>5422.772727272728</v>
      </c>
      <c r="G326" s="4"/>
      <c r="H326" s="4">
        <v>4648.0</v>
      </c>
      <c r="I326" s="4"/>
      <c r="J326" s="4">
        <v>3615.0</v>
      </c>
      <c r="K326" s="5"/>
      <c r="L326" s="5">
        <v>43382.18181818182</v>
      </c>
      <c r="M326" s="6"/>
      <c r="N326" s="5">
        <v>192748.3895</v>
      </c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ht="22.5" customHeight="1">
      <c r="A327" s="8">
        <v>45983.0</v>
      </c>
      <c r="B327" s="4">
        <v>6197.0</v>
      </c>
      <c r="C327" s="4"/>
      <c r="D327" s="4">
        <v>5681.0</v>
      </c>
      <c r="E327" s="4"/>
      <c r="F327" s="4">
        <v>5422.772727272728</v>
      </c>
      <c r="G327" s="4"/>
      <c r="H327" s="4">
        <v>4648.0</v>
      </c>
      <c r="I327" s="4"/>
      <c r="J327" s="4">
        <v>3615.0</v>
      </c>
      <c r="K327" s="5"/>
      <c r="L327" s="5">
        <v>43382.18181818182</v>
      </c>
      <c r="M327" s="6"/>
      <c r="N327" s="5">
        <v>192748.3895</v>
      </c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ht="22.5" customHeight="1">
      <c r="A328" s="8">
        <v>45984.0</v>
      </c>
      <c r="B328" s="4">
        <v>6339.0</v>
      </c>
      <c r="C328" s="4"/>
      <c r="D328" s="4">
        <v>5811.0</v>
      </c>
      <c r="E328" s="4"/>
      <c r="F328" s="4">
        <v>5546.863636363637</v>
      </c>
      <c r="G328" s="4"/>
      <c r="H328" s="4">
        <v>4754.0</v>
      </c>
      <c r="I328" s="4"/>
      <c r="J328" s="4">
        <v>3698.0</v>
      </c>
      <c r="K328" s="5"/>
      <c r="L328" s="5">
        <v>44374.909090909096</v>
      </c>
      <c r="M328" s="6"/>
      <c r="N328" s="5">
        <v>197165.0865</v>
      </c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ht="22.5" customHeight="1">
      <c r="A329" s="8">
        <v>45985.0</v>
      </c>
      <c r="B329" s="4">
        <v>6339.0</v>
      </c>
      <c r="C329" s="4"/>
      <c r="D329" s="4">
        <v>5811.0</v>
      </c>
      <c r="E329" s="4"/>
      <c r="F329" s="4">
        <v>5546.863636363637</v>
      </c>
      <c r="G329" s="4"/>
      <c r="H329" s="4">
        <v>4754.0</v>
      </c>
      <c r="I329" s="4"/>
      <c r="J329" s="4">
        <v>3698.0</v>
      </c>
      <c r="K329" s="5"/>
      <c r="L329" s="5">
        <v>44374.909090909096</v>
      </c>
      <c r="M329" s="6"/>
      <c r="N329" s="5">
        <v>197165.0865</v>
      </c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ht="22.5" customHeight="1">
      <c r="A330" s="8">
        <v>45986.0</v>
      </c>
      <c r="B330" s="4">
        <v>6353.0</v>
      </c>
      <c r="C330" s="4"/>
      <c r="D330" s="4">
        <v>5824.0</v>
      </c>
      <c r="E330" s="4"/>
      <c r="F330" s="4">
        <v>5559.272727272728</v>
      </c>
      <c r="G330" s="4"/>
      <c r="H330" s="4">
        <v>4765.0</v>
      </c>
      <c r="I330" s="4"/>
      <c r="J330" s="4">
        <v>3706.0</v>
      </c>
      <c r="K330" s="5"/>
      <c r="L330" s="5">
        <v>44474.18181818182</v>
      </c>
      <c r="M330" s="6"/>
      <c r="N330" s="5">
        <v>197600.5355</v>
      </c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ht="22.5" customHeight="1">
      <c r="A331" s="8">
        <v>45987.0</v>
      </c>
      <c r="B331" s="4">
        <v>6389.0</v>
      </c>
      <c r="C331" s="4"/>
      <c r="D331" s="4">
        <v>5857.0</v>
      </c>
      <c r="E331" s="4"/>
      <c r="F331" s="4">
        <v>5590.772727272728</v>
      </c>
      <c r="G331" s="4"/>
      <c r="H331" s="4">
        <v>4792.0</v>
      </c>
      <c r="I331" s="4"/>
      <c r="J331" s="4">
        <v>3727.0</v>
      </c>
      <c r="K331" s="5"/>
      <c r="L331" s="5">
        <v>44726.18181818182</v>
      </c>
      <c r="M331" s="6"/>
      <c r="N331" s="5">
        <v>198720.2615</v>
      </c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ht="22.5" customHeight="1">
      <c r="A332" s="8">
        <v>45988.0</v>
      </c>
      <c r="B332" s="4">
        <v>6366.0</v>
      </c>
      <c r="C332" s="4"/>
      <c r="D332" s="4">
        <v>5836.0</v>
      </c>
      <c r="E332" s="4"/>
      <c r="F332" s="4">
        <v>5570.727272727273</v>
      </c>
      <c r="G332" s="4"/>
      <c r="H332" s="4">
        <v>4775.0</v>
      </c>
      <c r="I332" s="4"/>
      <c r="J332" s="4">
        <v>3714.0</v>
      </c>
      <c r="K332" s="5"/>
      <c r="L332" s="5">
        <v>44565.818181818184</v>
      </c>
      <c r="M332" s="6"/>
      <c r="N332" s="5">
        <v>198004.881</v>
      </c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ht="22.5" customHeight="1">
      <c r="A333" s="8">
        <v>45989.0</v>
      </c>
      <c r="B333" s="4">
        <v>6464.0</v>
      </c>
      <c r="C333" s="4"/>
      <c r="D333" s="4">
        <v>5925.0</v>
      </c>
      <c r="E333" s="4"/>
      <c r="F333" s="4">
        <v>5655.681818181818</v>
      </c>
      <c r="G333" s="4"/>
      <c r="H333" s="4">
        <v>4848.0</v>
      </c>
      <c r="I333" s="4"/>
      <c r="J333" s="4">
        <v>3771.0</v>
      </c>
      <c r="K333" s="5"/>
      <c r="L333" s="5">
        <v>45245.454545454544</v>
      </c>
      <c r="M333" s="6"/>
      <c r="N333" s="5">
        <v>201053.024</v>
      </c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ht="22.5" customHeight="1">
      <c r="A334" s="8">
        <v>45990.0</v>
      </c>
      <c r="B334" s="4">
        <v>6464.0</v>
      </c>
      <c r="C334" s="4"/>
      <c r="D334" s="4">
        <v>5925.0</v>
      </c>
      <c r="E334" s="4"/>
      <c r="F334" s="4">
        <v>5655.681818181818</v>
      </c>
      <c r="G334" s="4"/>
      <c r="H334" s="4">
        <v>4848.0</v>
      </c>
      <c r="I334" s="4"/>
      <c r="J334" s="4">
        <v>3771.0</v>
      </c>
      <c r="K334" s="5"/>
      <c r="L334" s="5">
        <v>45245.454545454544</v>
      </c>
      <c r="M334" s="6"/>
      <c r="N334" s="5">
        <v>201053.024</v>
      </c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ht="22.5" customHeight="1">
      <c r="A335" s="8">
        <v>45991.0</v>
      </c>
      <c r="B335" s="4">
        <v>6471.0</v>
      </c>
      <c r="C335" s="4"/>
      <c r="D335" s="4">
        <v>5932.0</v>
      </c>
      <c r="E335" s="4"/>
      <c r="F335" s="4">
        <v>5662.363636363637</v>
      </c>
      <c r="G335" s="4"/>
      <c r="H335" s="4">
        <v>4853.0</v>
      </c>
      <c r="I335" s="4"/>
      <c r="J335" s="4">
        <v>3775.0</v>
      </c>
      <c r="K335" s="5"/>
      <c r="L335" s="5">
        <v>45298.909090909096</v>
      </c>
      <c r="M335" s="6"/>
      <c r="N335" s="5">
        <v>201270.74850000002</v>
      </c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ht="22.5" customHeight="1">
      <c r="A336" s="3">
        <v>45992.0</v>
      </c>
      <c r="B336" s="4">
        <v>6471.0</v>
      </c>
      <c r="C336" s="4"/>
      <c r="D336" s="4">
        <v>5932.0</v>
      </c>
      <c r="E336" s="4"/>
      <c r="F336" s="4">
        <v>5662.363636363637</v>
      </c>
      <c r="G336" s="4"/>
      <c r="H336" s="4">
        <v>4853.0</v>
      </c>
      <c r="I336" s="4"/>
      <c r="J336" s="4">
        <v>3775.0</v>
      </c>
      <c r="K336" s="5"/>
      <c r="L336" s="5">
        <v>45298.909090909096</v>
      </c>
      <c r="M336" s="6"/>
      <c r="N336" s="5">
        <v>201270.74850000002</v>
      </c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ht="22.5" customHeight="1">
      <c r="A337" s="3">
        <v>45993.0</v>
      </c>
      <c r="B337" s="4">
        <v>6429.0</v>
      </c>
      <c r="C337" s="4"/>
      <c r="D337" s="4">
        <v>5894.0</v>
      </c>
      <c r="E337" s="4"/>
      <c r="F337" s="4">
        <v>5626.090909090909</v>
      </c>
      <c r="G337" s="4"/>
      <c r="H337" s="4">
        <v>4822.0</v>
      </c>
      <c r="I337" s="4"/>
      <c r="J337" s="4">
        <v>3750.0</v>
      </c>
      <c r="K337" s="5"/>
      <c r="L337" s="5">
        <v>45008.72727272727</v>
      </c>
      <c r="M337" s="6"/>
      <c r="N337" s="5">
        <v>199964.4015</v>
      </c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ht="22.5" customHeight="1">
      <c r="A338" s="3">
        <v>45994.0</v>
      </c>
      <c r="B338" s="4">
        <v>6432.0</v>
      </c>
      <c r="C338" s="4"/>
      <c r="D338" s="4">
        <v>5896.0</v>
      </c>
      <c r="E338" s="4"/>
      <c r="F338" s="4">
        <v>5628.0</v>
      </c>
      <c r="G338" s="4"/>
      <c r="H338" s="4">
        <v>4824.0</v>
      </c>
      <c r="I338" s="4"/>
      <c r="J338" s="4">
        <v>3752.0</v>
      </c>
      <c r="K338" s="5"/>
      <c r="L338" s="5">
        <v>45024.0</v>
      </c>
      <c r="M338" s="6"/>
      <c r="N338" s="5">
        <v>200057.712</v>
      </c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ht="22.5" customHeight="1">
      <c r="A339" s="3">
        <v>45995.0</v>
      </c>
      <c r="B339" s="4">
        <v>6429.0</v>
      </c>
      <c r="C339" s="4"/>
      <c r="D339" s="4">
        <v>5894.0</v>
      </c>
      <c r="E339" s="4"/>
      <c r="F339" s="4">
        <v>5626.090909090909</v>
      </c>
      <c r="G339" s="4"/>
      <c r="H339" s="4">
        <v>4822.0</v>
      </c>
      <c r="I339" s="4"/>
      <c r="J339" s="4">
        <v>3750.0</v>
      </c>
      <c r="K339" s="5"/>
      <c r="L339" s="5">
        <v>45008.72727272727</v>
      </c>
      <c r="M339" s="6"/>
      <c r="N339" s="5">
        <v>199964.4015</v>
      </c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ht="22.5" customHeight="1">
      <c r="A340" s="3">
        <v>45996.0</v>
      </c>
      <c r="B340" s="4">
        <v>6422.0</v>
      </c>
      <c r="C340" s="4"/>
      <c r="D340" s="4">
        <v>5887.0</v>
      </c>
      <c r="E340" s="4"/>
      <c r="F340" s="4">
        <v>5619.409090909091</v>
      </c>
      <c r="G340" s="4"/>
      <c r="H340" s="4">
        <v>4817.0</v>
      </c>
      <c r="I340" s="4"/>
      <c r="J340" s="4">
        <v>3746.0</v>
      </c>
      <c r="K340" s="5"/>
      <c r="L340" s="5">
        <v>44955.27272727273</v>
      </c>
      <c r="M340" s="6"/>
      <c r="N340" s="5">
        <v>199746.677</v>
      </c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ht="22.5" customHeight="1">
      <c r="A341" s="3">
        <v>45997.0</v>
      </c>
      <c r="B341" s="4">
        <v>6422.0</v>
      </c>
      <c r="C341" s="4"/>
      <c r="D341" s="4">
        <v>5887.0</v>
      </c>
      <c r="E341" s="4"/>
      <c r="F341" s="4">
        <v>5619.409090909091</v>
      </c>
      <c r="G341" s="4"/>
      <c r="H341" s="4">
        <v>4817.0</v>
      </c>
      <c r="I341" s="4"/>
      <c r="J341" s="4">
        <v>3746.0</v>
      </c>
      <c r="K341" s="5"/>
      <c r="L341" s="5">
        <v>44955.27272727273</v>
      </c>
      <c r="M341" s="6"/>
      <c r="N341" s="5">
        <v>199746.677</v>
      </c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ht="22.5" customHeight="1">
      <c r="A342" s="3">
        <v>45998.0</v>
      </c>
      <c r="B342" s="4">
        <v>6397.0</v>
      </c>
      <c r="C342" s="4"/>
      <c r="D342" s="4">
        <v>5864.0</v>
      </c>
      <c r="E342" s="4"/>
      <c r="F342" s="4">
        <v>5597.454545454546</v>
      </c>
      <c r="G342" s="4"/>
      <c r="H342" s="4">
        <v>4798.0</v>
      </c>
      <c r="I342" s="4"/>
      <c r="J342" s="4">
        <v>3731.0</v>
      </c>
      <c r="K342" s="5"/>
      <c r="L342" s="5">
        <v>44779.63636363637</v>
      </c>
      <c r="M342" s="6"/>
      <c r="N342" s="5">
        <v>198969.0895</v>
      </c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ht="22.5" customHeight="1">
      <c r="A343" s="3">
        <v>45999.0</v>
      </c>
      <c r="B343" s="4">
        <v>6397.0</v>
      </c>
      <c r="C343" s="4"/>
      <c r="D343" s="4">
        <v>5864.0</v>
      </c>
      <c r="E343" s="4"/>
      <c r="F343" s="4">
        <v>5597.454545454546</v>
      </c>
      <c r="G343" s="4"/>
      <c r="H343" s="4">
        <v>4798.0</v>
      </c>
      <c r="I343" s="4"/>
      <c r="J343" s="4">
        <v>3731.0</v>
      </c>
      <c r="K343" s="5"/>
      <c r="L343" s="5">
        <v>44779.63636363637</v>
      </c>
      <c r="M343" s="6"/>
      <c r="N343" s="5">
        <v>198969.0895</v>
      </c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ht="22.5" customHeight="1">
      <c r="A344" s="3">
        <v>46000.0</v>
      </c>
      <c r="B344" s="4">
        <v>6436.0</v>
      </c>
      <c r="C344" s="4"/>
      <c r="D344" s="4">
        <v>5899.0</v>
      </c>
      <c r="E344" s="4"/>
      <c r="F344" s="4">
        <v>5630.863636363637</v>
      </c>
      <c r="G344" s="4"/>
      <c r="H344" s="4">
        <v>4827.0</v>
      </c>
      <c r="I344" s="4"/>
      <c r="J344" s="4">
        <v>3754.0</v>
      </c>
      <c r="K344" s="5"/>
      <c r="L344" s="5">
        <v>45046.909090909096</v>
      </c>
      <c r="M344" s="6"/>
      <c r="N344" s="5">
        <v>200182.126</v>
      </c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ht="22.5" customHeight="1">
      <c r="A345" s="8">
        <v>46001.0</v>
      </c>
      <c r="B345" s="4">
        <v>6462.0</v>
      </c>
      <c r="C345" s="4"/>
      <c r="D345" s="4">
        <v>5923.0</v>
      </c>
      <c r="E345" s="4"/>
      <c r="F345" s="4">
        <v>5653.772727272728</v>
      </c>
      <c r="G345" s="4"/>
      <c r="H345" s="4">
        <v>4846.0</v>
      </c>
      <c r="I345" s="4"/>
      <c r="J345" s="4">
        <v>3769.0</v>
      </c>
      <c r="K345" s="5"/>
      <c r="L345" s="5">
        <v>45230.18181818182</v>
      </c>
      <c r="M345" s="6"/>
      <c r="N345" s="5">
        <v>200990.817</v>
      </c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ht="22.5" customHeight="1">
      <c r="A346" s="8">
        <v>46002.0</v>
      </c>
      <c r="B346" s="4">
        <v>6538.0</v>
      </c>
      <c r="C346" s="4"/>
      <c r="D346" s="4">
        <v>5993.0</v>
      </c>
      <c r="E346" s="4"/>
      <c r="F346" s="4">
        <v>5720.590909090909</v>
      </c>
      <c r="G346" s="4"/>
      <c r="H346" s="4">
        <v>4904.0</v>
      </c>
      <c r="I346" s="4"/>
      <c r="J346" s="4">
        <v>3814.0</v>
      </c>
      <c r="K346" s="5"/>
      <c r="L346" s="5">
        <v>45764.72727272727</v>
      </c>
      <c r="M346" s="6"/>
      <c r="N346" s="5">
        <v>203354.683</v>
      </c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ht="22.5" customHeight="1">
      <c r="A347" s="8">
        <v>46003.0</v>
      </c>
      <c r="B347" s="4">
        <v>6572.0</v>
      </c>
      <c r="C347" s="4"/>
      <c r="D347" s="4">
        <v>6025.0</v>
      </c>
      <c r="E347" s="4"/>
      <c r="F347" s="4">
        <v>5751.136363636364</v>
      </c>
      <c r="G347" s="4"/>
      <c r="H347" s="4">
        <v>4929.0</v>
      </c>
      <c r="I347" s="4"/>
      <c r="J347" s="4">
        <v>3834.0</v>
      </c>
      <c r="K347" s="5"/>
      <c r="L347" s="5">
        <v>46009.09090909091</v>
      </c>
      <c r="M347" s="6"/>
      <c r="N347" s="5">
        <v>204412.202</v>
      </c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ht="22.5" customHeight="1">
      <c r="A348" s="8">
        <v>46004.0</v>
      </c>
      <c r="B348" s="4">
        <v>6572.0</v>
      </c>
      <c r="C348" s="4"/>
      <c r="D348" s="4">
        <v>6025.0</v>
      </c>
      <c r="E348" s="4"/>
      <c r="F348" s="4">
        <v>5751.136363636364</v>
      </c>
      <c r="G348" s="4"/>
      <c r="H348" s="4">
        <v>4929.0</v>
      </c>
      <c r="I348" s="4"/>
      <c r="J348" s="4">
        <v>3834.0</v>
      </c>
      <c r="K348" s="5"/>
      <c r="L348" s="5">
        <v>46009.09090909091</v>
      </c>
      <c r="M348" s="6"/>
      <c r="N348" s="5">
        <v>204412.202</v>
      </c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ht="22.5" customHeight="1">
      <c r="A349" s="8">
        <v>46005.0</v>
      </c>
      <c r="B349" s="4">
        <v>6569.0</v>
      </c>
      <c r="C349" s="4"/>
      <c r="D349" s="4">
        <v>6022.0</v>
      </c>
      <c r="E349" s="4"/>
      <c r="F349" s="4">
        <v>5748.272727272728</v>
      </c>
      <c r="G349" s="4"/>
      <c r="H349" s="4">
        <v>4927.0</v>
      </c>
      <c r="I349" s="4"/>
      <c r="J349" s="4">
        <v>3832.0</v>
      </c>
      <c r="K349" s="5"/>
      <c r="L349" s="5">
        <v>45986.18181818182</v>
      </c>
      <c r="M349" s="6"/>
      <c r="N349" s="5">
        <v>204318.8915</v>
      </c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ht="22.5" customHeight="1">
      <c r="A350" s="8">
        <v>46006.0</v>
      </c>
      <c r="B350" s="4">
        <v>6569.0</v>
      </c>
      <c r="C350" s="4"/>
      <c r="D350" s="4">
        <v>6022.0</v>
      </c>
      <c r="E350" s="4"/>
      <c r="F350" s="4">
        <v>5748.272727272728</v>
      </c>
      <c r="G350" s="4"/>
      <c r="H350" s="4">
        <v>4927.0</v>
      </c>
      <c r="I350" s="4"/>
      <c r="J350" s="4">
        <v>3832.0</v>
      </c>
      <c r="K350" s="5"/>
      <c r="L350" s="5">
        <v>45986.18181818182</v>
      </c>
      <c r="M350" s="6"/>
      <c r="N350" s="5">
        <v>204318.8915</v>
      </c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ht="22.5" customHeight="1">
      <c r="A351" s="8">
        <v>46007.0</v>
      </c>
      <c r="B351" s="4">
        <v>6560.0</v>
      </c>
      <c r="C351" s="4"/>
      <c r="D351" s="4">
        <v>6014.0</v>
      </c>
      <c r="E351" s="4"/>
      <c r="F351" s="4">
        <v>5740.636363636364</v>
      </c>
      <c r="G351" s="4"/>
      <c r="H351" s="4">
        <v>4920.0</v>
      </c>
      <c r="I351" s="4"/>
      <c r="J351" s="4">
        <v>3827.0</v>
      </c>
      <c r="K351" s="5"/>
      <c r="L351" s="5">
        <v>45925.09090909091</v>
      </c>
      <c r="M351" s="6"/>
      <c r="N351" s="5">
        <v>204038.96</v>
      </c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ht="22.5" customHeight="1">
      <c r="A352" s="8">
        <v>46008.0</v>
      </c>
      <c r="B352" s="4">
        <v>6639.0</v>
      </c>
      <c r="C352" s="4"/>
      <c r="D352" s="4">
        <v>6086.0</v>
      </c>
      <c r="E352" s="4"/>
      <c r="F352" s="4">
        <v>5809.363636363637</v>
      </c>
      <c r="G352" s="4"/>
      <c r="H352" s="4">
        <v>4979.0</v>
      </c>
      <c r="I352" s="4"/>
      <c r="J352" s="4">
        <v>3873.0</v>
      </c>
      <c r="K352" s="5"/>
      <c r="L352" s="5">
        <v>46474.909090909096</v>
      </c>
      <c r="M352" s="6"/>
      <c r="N352" s="5">
        <v>206496.1365</v>
      </c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ht="22.5" customHeight="1">
      <c r="A353" s="8">
        <v>46009.0</v>
      </c>
      <c r="B353" s="4">
        <v>6623.0</v>
      </c>
      <c r="C353" s="4"/>
      <c r="D353" s="4">
        <v>6071.0</v>
      </c>
      <c r="E353" s="4"/>
      <c r="F353" s="4">
        <v>5795.045454545455</v>
      </c>
      <c r="G353" s="4"/>
      <c r="H353" s="4">
        <v>4967.0</v>
      </c>
      <c r="I353" s="4"/>
      <c r="J353" s="4">
        <v>3864.0</v>
      </c>
      <c r="K353" s="5"/>
      <c r="L353" s="5">
        <v>46360.36363636364</v>
      </c>
      <c r="M353" s="6"/>
      <c r="N353" s="5">
        <v>205998.4805</v>
      </c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ht="22.5" customHeight="1">
      <c r="A354" s="8">
        <v>46010.0</v>
      </c>
      <c r="B354" s="4">
        <v>6641.0</v>
      </c>
      <c r="C354" s="4"/>
      <c r="D354" s="4">
        <v>6087.0</v>
      </c>
      <c r="E354" s="4"/>
      <c r="F354" s="4">
        <v>5810.318181818182</v>
      </c>
      <c r="G354" s="4"/>
      <c r="H354" s="4">
        <v>4980.0</v>
      </c>
      <c r="I354" s="4"/>
      <c r="J354" s="4">
        <v>3874.0</v>
      </c>
      <c r="K354" s="5"/>
      <c r="L354" s="5">
        <v>46482.545454545456</v>
      </c>
      <c r="M354" s="6"/>
      <c r="N354" s="5">
        <v>206558.3435</v>
      </c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ht="22.5" customHeight="1">
      <c r="A355" s="8">
        <v>46011.0</v>
      </c>
      <c r="B355" s="4">
        <v>6641.0</v>
      </c>
      <c r="C355" s="4"/>
      <c r="D355" s="4">
        <v>6087.0</v>
      </c>
      <c r="E355" s="4"/>
      <c r="F355" s="4">
        <v>5810.318181818182</v>
      </c>
      <c r="G355" s="4"/>
      <c r="H355" s="4">
        <v>4980.0</v>
      </c>
      <c r="I355" s="4"/>
      <c r="J355" s="4">
        <v>3874.0</v>
      </c>
      <c r="K355" s="5"/>
      <c r="L355" s="5">
        <v>46482.545454545456</v>
      </c>
      <c r="M355" s="6"/>
      <c r="N355" s="5">
        <v>206558.3435</v>
      </c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ht="22.5" customHeight="1">
      <c r="A356" s="8">
        <v>46012.0</v>
      </c>
      <c r="B356" s="4">
        <v>6802.0</v>
      </c>
      <c r="C356" s="4"/>
      <c r="D356" s="4">
        <v>6235.0</v>
      </c>
      <c r="E356" s="4"/>
      <c r="F356" s="4">
        <v>5951.590909090909</v>
      </c>
      <c r="G356" s="4"/>
      <c r="H356" s="4">
        <v>5101.0</v>
      </c>
      <c r="I356" s="4"/>
      <c r="J356" s="4">
        <v>3968.0</v>
      </c>
      <c r="K356" s="5"/>
      <c r="L356" s="5">
        <v>47612.72727272727</v>
      </c>
      <c r="M356" s="6"/>
      <c r="N356" s="5">
        <v>211566.007</v>
      </c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ht="22.5" customHeight="1">
      <c r="A357" s="8">
        <v>46013.0</v>
      </c>
      <c r="B357" s="4">
        <v>6802.0</v>
      </c>
      <c r="C357" s="4"/>
      <c r="D357" s="4">
        <v>6235.0</v>
      </c>
      <c r="E357" s="4"/>
      <c r="F357" s="4">
        <v>5951.590909090909</v>
      </c>
      <c r="G357" s="4"/>
      <c r="H357" s="4">
        <v>5101.0</v>
      </c>
      <c r="I357" s="4"/>
      <c r="J357" s="4">
        <v>3968.0</v>
      </c>
      <c r="K357" s="5"/>
      <c r="L357" s="5">
        <v>47612.72727272727</v>
      </c>
      <c r="M357" s="6"/>
      <c r="N357" s="5">
        <v>211566.007</v>
      </c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ht="22.5" customHeight="1">
      <c r="A358" s="8">
        <v>46014.0</v>
      </c>
      <c r="B358" s="4">
        <v>6857.0</v>
      </c>
      <c r="C358" s="4"/>
      <c r="D358" s="4">
        <v>6286.0</v>
      </c>
      <c r="E358" s="4"/>
      <c r="F358" s="4">
        <v>6000.272727272728</v>
      </c>
      <c r="G358" s="4"/>
      <c r="H358" s="4">
        <v>5143.0</v>
      </c>
      <c r="I358" s="4"/>
      <c r="J358" s="4">
        <v>4000.0</v>
      </c>
      <c r="K358" s="5"/>
      <c r="L358" s="5">
        <v>48002.18181818182</v>
      </c>
      <c r="M358" s="6"/>
      <c r="N358" s="5">
        <v>213276.69950000002</v>
      </c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ht="22.5" customHeight="1">
      <c r="A359" s="8">
        <v>46015.0</v>
      </c>
      <c r="B359" s="4">
        <v>6847.0</v>
      </c>
      <c r="C359" s="4"/>
      <c r="D359" s="4">
        <v>6277.0</v>
      </c>
      <c r="E359" s="4"/>
      <c r="F359" s="4">
        <v>5991.681818181818</v>
      </c>
      <c r="G359" s="4"/>
      <c r="H359" s="4">
        <v>5135.0</v>
      </c>
      <c r="I359" s="4"/>
      <c r="J359" s="4">
        <v>3994.0</v>
      </c>
      <c r="K359" s="5"/>
      <c r="L359" s="5">
        <v>47933.454545454544</v>
      </c>
      <c r="M359" s="6"/>
      <c r="N359" s="5">
        <v>212965.6645</v>
      </c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ht="22.5" customHeight="1">
      <c r="A360" s="8">
        <v>46016.0</v>
      </c>
      <c r="B360" s="4">
        <v>6872.0</v>
      </c>
      <c r="C360" s="4"/>
      <c r="D360" s="4">
        <v>6299.0</v>
      </c>
      <c r="E360" s="4"/>
      <c r="F360" s="4">
        <v>6012.681818181818</v>
      </c>
      <c r="G360" s="4"/>
      <c r="H360" s="4">
        <v>5154.0</v>
      </c>
      <c r="I360" s="4"/>
      <c r="J360" s="4">
        <v>4008.0</v>
      </c>
      <c r="K360" s="5"/>
      <c r="L360" s="5">
        <v>48101.454545454544</v>
      </c>
      <c r="M360" s="6"/>
      <c r="N360" s="5">
        <v>213743.252</v>
      </c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ht="22.5" customHeight="1">
      <c r="A361" s="8">
        <v>46017.0</v>
      </c>
      <c r="B361" s="4">
        <v>6883.5</v>
      </c>
      <c r="C361" s="4"/>
      <c r="D361" s="4">
        <v>6309.5</v>
      </c>
      <c r="E361" s="4"/>
      <c r="F361" s="4">
        <v>6022.704545454546</v>
      </c>
      <c r="G361" s="4"/>
      <c r="H361" s="4">
        <v>5594.5</v>
      </c>
      <c r="I361" s="4"/>
      <c r="J361" s="4">
        <v>4591.5</v>
      </c>
      <c r="K361" s="5"/>
      <c r="L361" s="5">
        <v>48181.63636363637</v>
      </c>
      <c r="M361" s="6"/>
      <c r="N361" s="5">
        <v>214100.94225</v>
      </c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ht="22.5" customHeight="1">
      <c r="A362" s="8">
        <v>46018.0</v>
      </c>
      <c r="B362" s="4">
        <v>6890.0</v>
      </c>
      <c r="C362" s="4">
        <v>6915.0</v>
      </c>
      <c r="D362" s="4">
        <v>6315.0</v>
      </c>
      <c r="E362" s="4">
        <v>6340.0</v>
      </c>
      <c r="F362" s="4">
        <v>6030.0</v>
      </c>
      <c r="G362" s="4">
        <v>6050.0</v>
      </c>
      <c r="H362" s="4">
        <v>5170.0</v>
      </c>
      <c r="I362" s="4">
        <v>5185.0</v>
      </c>
      <c r="J362" s="4">
        <v>4020.0</v>
      </c>
      <c r="K362" s="5">
        <v>4035.0</v>
      </c>
      <c r="L362" s="5">
        <v>48240.0</v>
      </c>
      <c r="M362" s="6">
        <v>48400.0</v>
      </c>
      <c r="N362" s="5">
        <v>214303.115</v>
      </c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ht="22.5" customHeight="1">
      <c r="A363" s="8">
        <v>46019.0</v>
      </c>
      <c r="B363" s="4">
        <v>6915.0</v>
      </c>
      <c r="C363" s="4">
        <v>6935.0</v>
      </c>
      <c r="D363" s="4">
        <v>6340.0</v>
      </c>
      <c r="E363" s="4">
        <v>6360.0</v>
      </c>
      <c r="F363" s="4">
        <v>6050.0</v>
      </c>
      <c r="G363" s="4">
        <v>6070.0</v>
      </c>
      <c r="H363" s="4">
        <v>5185.0</v>
      </c>
      <c r="I363" s="4">
        <v>5205.0</v>
      </c>
      <c r="J363" s="4">
        <v>4035.0</v>
      </c>
      <c r="K363" s="5">
        <v>4045.0</v>
      </c>
      <c r="L363" s="5">
        <v>48400.0</v>
      </c>
      <c r="M363" s="6">
        <v>48560.0</v>
      </c>
      <c r="N363" s="5">
        <v>215060.0</v>
      </c>
      <c r="O363" s="6">
        <v>215770.0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ht="22.5" customHeight="1">
      <c r="A364" s="8">
        <v>46020.0</v>
      </c>
      <c r="B364" s="4">
        <v>6935.0</v>
      </c>
      <c r="C364" s="4">
        <v>6960.0</v>
      </c>
      <c r="D364" s="4">
        <v>6360.0</v>
      </c>
      <c r="E364" s="4">
        <v>6380.0</v>
      </c>
      <c r="F364" s="4">
        <v>6070.0</v>
      </c>
      <c r="G364" s="4">
        <v>6090.0</v>
      </c>
      <c r="H364" s="4">
        <v>5205.0</v>
      </c>
      <c r="I364" s="4">
        <v>5220.0</v>
      </c>
      <c r="J364" s="4">
        <v>4045.0</v>
      </c>
      <c r="K364" s="5">
        <v>4060.0</v>
      </c>
      <c r="L364" s="5">
        <v>48560.0</v>
      </c>
      <c r="M364" s="6">
        <v>48720.0</v>
      </c>
      <c r="N364" s="5">
        <v>215770.0</v>
      </c>
      <c r="O364" s="6">
        <v>216480.0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ht="22.5" customHeight="1">
      <c r="A365" s="8">
        <v>46021.0</v>
      </c>
      <c r="B365" s="4">
        <v>6685.0</v>
      </c>
      <c r="C365" s="4">
        <v>6720.0</v>
      </c>
      <c r="D365" s="4">
        <v>6130.0</v>
      </c>
      <c r="E365" s="4">
        <v>6160.0</v>
      </c>
      <c r="F365" s="4">
        <v>5850.0</v>
      </c>
      <c r="G365" s="4">
        <v>5880.0</v>
      </c>
      <c r="H365" s="4">
        <v>5015.0</v>
      </c>
      <c r="I365" s="4">
        <v>5040.0</v>
      </c>
      <c r="J365" s="4">
        <v>3900.0</v>
      </c>
      <c r="K365" s="5">
        <v>3920.0</v>
      </c>
      <c r="L365" s="5">
        <v>46800.0</v>
      </c>
      <c r="M365" s="6">
        <v>47040.0</v>
      </c>
      <c r="N365" s="5">
        <v>207950.0</v>
      </c>
      <c r="O365" s="6">
        <v>209015.0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ht="22.5" customHeight="1">
      <c r="A366" s="8">
        <v>46022.0</v>
      </c>
      <c r="B366" s="4">
        <v>6720.0</v>
      </c>
      <c r="C366" s="4">
        <v>6745.0</v>
      </c>
      <c r="D366" s="4">
        <v>6160.0</v>
      </c>
      <c r="E366" s="4">
        <v>6180.0</v>
      </c>
      <c r="F366" s="4">
        <v>5880.0</v>
      </c>
      <c r="G366" s="4">
        <v>5900.0</v>
      </c>
      <c r="H366" s="4">
        <v>5040.0</v>
      </c>
      <c r="I366" s="4">
        <v>5055.0</v>
      </c>
      <c r="J366" s="4">
        <v>3920.0</v>
      </c>
      <c r="K366" s="5">
        <v>3935.0</v>
      </c>
      <c r="L366" s="5">
        <v>47040.0</v>
      </c>
      <c r="M366" s="6">
        <v>47200.0</v>
      </c>
      <c r="N366" s="5">
        <v>209015.0</v>
      </c>
      <c r="O366" s="6">
        <v>209725.0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ht="22.5" customHeight="1">
      <c r="A367" s="3">
        <v>46023.0</v>
      </c>
      <c r="B367" s="4">
        <v>6640.0</v>
      </c>
      <c r="C367" s="4">
        <v>6665.0</v>
      </c>
      <c r="D367" s="4">
        <v>6085.0</v>
      </c>
      <c r="E367" s="4">
        <v>6110.0</v>
      </c>
      <c r="F367" s="4">
        <v>5810.0</v>
      </c>
      <c r="G367" s="4">
        <v>5830.0</v>
      </c>
      <c r="H367" s="4">
        <v>4980.0</v>
      </c>
      <c r="I367" s="4">
        <v>4995.0</v>
      </c>
      <c r="J367" s="4">
        <v>3875.0</v>
      </c>
      <c r="K367" s="5">
        <v>3885.0</v>
      </c>
      <c r="L367" s="5">
        <v>46480.0</v>
      </c>
      <c r="M367" s="6">
        <v>46640.0</v>
      </c>
      <c r="N367" s="5">
        <v>206525.0</v>
      </c>
      <c r="O367" s="6">
        <v>207240.0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ht="22.5" customHeight="1">
      <c r="A368" s="3">
        <v>46024.0</v>
      </c>
      <c r="B368" s="4">
        <v>6645.0</v>
      </c>
      <c r="C368" s="4">
        <v>6670.0</v>
      </c>
      <c r="D368" s="4">
        <v>6090.0</v>
      </c>
      <c r="E368" s="4">
        <v>6115.0</v>
      </c>
      <c r="F368" s="4">
        <v>5815.0</v>
      </c>
      <c r="G368" s="4">
        <v>5835.0</v>
      </c>
      <c r="H368" s="4">
        <v>4985.0</v>
      </c>
      <c r="I368" s="4">
        <v>5000.0</v>
      </c>
      <c r="J368" s="4">
        <v>3875.0</v>
      </c>
      <c r="K368" s="5">
        <v>3890.0</v>
      </c>
      <c r="L368" s="5">
        <v>46520.0</v>
      </c>
      <c r="M368" s="6">
        <v>46680.0</v>
      </c>
      <c r="N368" s="5">
        <v>206705.0</v>
      </c>
      <c r="O368" s="6">
        <v>207415.0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ht="22.5" customHeight="1">
      <c r="A369" s="3">
        <v>46025.0</v>
      </c>
      <c r="B369" s="4">
        <v>6650.0</v>
      </c>
      <c r="C369" s="4">
        <v>6675.0</v>
      </c>
      <c r="D369" s="4">
        <v>6095.0</v>
      </c>
      <c r="E369" s="4">
        <v>6120.0</v>
      </c>
      <c r="F369" s="4">
        <v>5820.0</v>
      </c>
      <c r="G369" s="4">
        <v>5840.0</v>
      </c>
      <c r="H369" s="4">
        <v>4990.0</v>
      </c>
      <c r="I369" s="4">
        <v>5005.0</v>
      </c>
      <c r="J369" s="4">
        <v>3880.0</v>
      </c>
      <c r="K369" s="5">
        <v>3895.0</v>
      </c>
      <c r="L369" s="5">
        <v>46560.0</v>
      </c>
      <c r="M369" s="6">
        <v>46720.0</v>
      </c>
      <c r="N369" s="5">
        <v>206885.0</v>
      </c>
      <c r="O369" s="6">
        <v>207595.0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</sheetData>
  <dataValidations>
    <dataValidation type="custom" allowBlank="1" showDropDown="1" sqref="B2:B369 D2:D369 F2:F369 H2:H369 J2:J369 L2:L369 N2:N36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9.88"/>
    <col customWidth="1" min="2" max="6" width="16.63"/>
  </cols>
  <sheetData>
    <row r="1">
      <c r="A1" s="7" t="str">
        <f>IFERROR(__xludf.DUMMYFUNCTION("IMPORTHTML(""https://www.gold-price-today.com/gold-prices-in-egypt.php"", ""table"", 1)"),"الوحدة والعيار")</f>
        <v>الوحدة والعيار</v>
      </c>
      <c r="B1" s="7" t="str">
        <f>IFERROR(__xludf.DUMMYFUNCTION("""COMPUTED_VALUE"""),"سعر البيع")</f>
        <v>سعر البيع</v>
      </c>
      <c r="C1" s="7" t="str">
        <f>IFERROR(__xludf.DUMMYFUNCTION("""COMPUTED_VALUE"""),"سعر الشراء")</f>
        <v>سعر الشراء</v>
      </c>
      <c r="D1" s="7" t="str">
        <f>IFERROR(__xludf.DUMMYFUNCTION("""COMPUTED_VALUE"""),"بالدولار الأمريكي")</f>
        <v>بالدولار الأمريكي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tr">
        <f>IFERROR(__xludf.DUMMYFUNCTION("""COMPUTED_VALUE"""),"سعر ذهب 24")</f>
        <v>سعر ذهب 24</v>
      </c>
      <c r="B2" s="7" t="str">
        <f>IFERROR(__xludf.DUMMYFUNCTION("""COMPUTED_VALUE"""),"6720 جنيه")</f>
        <v>6720 جنيه</v>
      </c>
      <c r="C2" s="7" t="str">
        <f>IFERROR(__xludf.DUMMYFUNCTION("""COMPUTED_VALUE"""),"6685 جنيه")</f>
        <v>6685 جنيه</v>
      </c>
      <c r="D2" s="7" t="str">
        <f>IFERROR(__xludf.DUMMYFUNCTION("""COMPUTED_VALUE"""),"$139.23")</f>
        <v>$139.23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tr">
        <f>IFERROR(__xludf.DUMMYFUNCTION("""COMPUTED_VALUE"""),"سعر ذهب 22")</f>
        <v>سعر ذهب 22</v>
      </c>
      <c r="B3" s="7" t="str">
        <f>IFERROR(__xludf.DUMMYFUNCTION("""COMPUTED_VALUE"""),"6160 جنيه")</f>
        <v>6160 جنيه</v>
      </c>
      <c r="C3" s="7" t="str">
        <f>IFERROR(__xludf.DUMMYFUNCTION("""COMPUTED_VALUE"""),"6130 جنيه")</f>
        <v>6130 جنيه</v>
      </c>
      <c r="D3" s="7" t="str">
        <f>IFERROR(__xludf.DUMMYFUNCTION("""COMPUTED_VALUE"""),"$127.63")</f>
        <v>$127.63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tr">
        <f>IFERROR(__xludf.DUMMYFUNCTION("""COMPUTED_VALUE"""),"سعر ذهب 21")</f>
        <v>سعر ذهب 21</v>
      </c>
      <c r="B4" s="7" t="str">
        <f>IFERROR(__xludf.DUMMYFUNCTION("""COMPUTED_VALUE"""),"5880 جنيه")</f>
        <v>5880 جنيه</v>
      </c>
      <c r="C4" s="7" t="str">
        <f>IFERROR(__xludf.DUMMYFUNCTION("""COMPUTED_VALUE"""),"5850 جنيه")</f>
        <v>5850 جنيه</v>
      </c>
      <c r="D4" s="7" t="str">
        <f>IFERROR(__xludf.DUMMYFUNCTION("""COMPUTED_VALUE"""),"$121.82")</f>
        <v>$121.82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tr">
        <f>IFERROR(__xludf.DUMMYFUNCTION("""COMPUTED_VALUE"""),"سعر ذهب 18")</f>
        <v>سعر ذهب 18</v>
      </c>
      <c r="B5" s="7" t="str">
        <f>IFERROR(__xludf.DUMMYFUNCTION("""COMPUTED_VALUE"""),"5040 جنيه")</f>
        <v>5040 جنيه</v>
      </c>
      <c r="C5" s="7" t="str">
        <f>IFERROR(__xludf.DUMMYFUNCTION("""COMPUTED_VALUE"""),"5015 جنيه")</f>
        <v>5015 جنيه</v>
      </c>
      <c r="D5" s="7" t="str">
        <f>IFERROR(__xludf.DUMMYFUNCTION("""COMPUTED_VALUE"""),"$104.42")</f>
        <v>$104.42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tr">
        <f>IFERROR(__xludf.DUMMYFUNCTION("""COMPUTED_VALUE"""),"سعر ذهب 14")</f>
        <v>سعر ذهب 14</v>
      </c>
      <c r="B6" s="7" t="str">
        <f>IFERROR(__xludf.DUMMYFUNCTION("""COMPUTED_VALUE"""),"3920 جنيه")</f>
        <v>3920 جنيه</v>
      </c>
      <c r="C6" s="7" t="str">
        <f>IFERROR(__xludf.DUMMYFUNCTION("""COMPUTED_VALUE"""),"3900 جنيه")</f>
        <v>3900 جنيه</v>
      </c>
      <c r="D6" s="7" t="str">
        <f>IFERROR(__xludf.DUMMYFUNCTION("""COMPUTED_VALUE"""),"$81.22")</f>
        <v>$81.22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tr">
        <f>IFERROR(__xludf.DUMMYFUNCTION("""COMPUTED_VALUE"""),"سعر ذهب 12")</f>
        <v>سعر ذهب 12</v>
      </c>
      <c r="B7" s="7" t="str">
        <f>IFERROR(__xludf.DUMMYFUNCTION("""COMPUTED_VALUE"""),"3360 جنيه")</f>
        <v>3360 جنيه</v>
      </c>
      <c r="C7" s="7" t="str">
        <f>IFERROR(__xludf.DUMMYFUNCTION("""COMPUTED_VALUE"""),"3345 جنيه")</f>
        <v>3345 جنيه</v>
      </c>
      <c r="D7" s="7" t="str">
        <f>IFERROR(__xludf.DUMMYFUNCTION("""COMPUTED_VALUE"""),"$69.61")</f>
        <v>$69.61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tr">
        <f>IFERROR(__xludf.DUMMYFUNCTION("""COMPUTED_VALUE"""),"سعر الأونصة")</f>
        <v>سعر الأونصة</v>
      </c>
      <c r="B8" s="7" t="str">
        <f>IFERROR(__xludf.DUMMYFUNCTION("""COMPUTED_VALUE"""),"209015 جنيه")</f>
        <v>209015 جنيه</v>
      </c>
      <c r="C8" s="7" t="str">
        <f>IFERROR(__xludf.DUMMYFUNCTION("""COMPUTED_VALUE"""),"207950 جنيه")</f>
        <v>207950 جنيه</v>
      </c>
      <c r="D8" s="7" t="str">
        <f>IFERROR(__xludf.DUMMYFUNCTION("""COMPUTED_VALUE"""),"$4330.49")</f>
        <v>$4330.49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tr">
        <f>IFERROR(__xludf.DUMMYFUNCTION("""COMPUTED_VALUE"""),"الجنيه الذهب")</f>
        <v>الجنيه الذهب</v>
      </c>
      <c r="B9" s="7" t="str">
        <f>IFERROR(__xludf.DUMMYFUNCTION("""COMPUTED_VALUE"""),"47040 جنيه")</f>
        <v>47040 جنيه</v>
      </c>
      <c r="C9" s="7" t="str">
        <f>IFERROR(__xludf.DUMMYFUNCTION("""COMPUTED_VALUE"""),"46800 جنيه")</f>
        <v>46800 جنيه</v>
      </c>
      <c r="D9" s="7" t="str">
        <f>IFERROR(__xludf.DUMMYFUNCTION("""COMPUTED_VALUE"""),"$974.60")</f>
        <v>$974.60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tr">
        <f>IFERROR(__xludf.DUMMYFUNCTION("""COMPUTED_VALUE"""),"الأونصة بالدولار")</f>
        <v>الأونصة بالدولار</v>
      </c>
      <c r="B10" s="7" t="str">
        <f>IFERROR(__xludf.DUMMYFUNCTION("""COMPUTED_VALUE"""),"*4330.49* دولار")</f>
        <v>*4330.49* دولار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tr">
        <f>IFERROR(__xludf.DUMMYFUNCTION("""COMPUTED_VALUE"""),"سعر الذهب بمحلات الصاغة تختلف بين منطقة وأخرى")</f>
        <v>سعر الذهب بمحلات الصاغة تختلف بين منطقة وأخرى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9" t="s">
        <v>0</v>
      </c>
      <c r="B35" s="9" t="s">
        <v>15</v>
      </c>
      <c r="C35" s="9" t="s">
        <v>16</v>
      </c>
      <c r="D35" s="9" t="s">
        <v>17</v>
      </c>
      <c r="E35" s="9" t="s">
        <v>18</v>
      </c>
      <c r="F35" s="9" t="s">
        <v>19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0">
        <f>TODAY()</f>
        <v>46026</v>
      </c>
      <c r="B36" s="7" t="str">
        <f>B2</f>
        <v>6720 جنيه</v>
      </c>
      <c r="C36" s="7" t="str">
        <f>B3</f>
        <v>6160 جنيه</v>
      </c>
      <c r="D36" s="7" t="str">
        <f>B5</f>
        <v>5040 جنيه</v>
      </c>
      <c r="E36" s="7" t="str">
        <f>B6</f>
        <v>3920 جنيه</v>
      </c>
      <c r="F36" s="7" t="str">
        <f>B7</f>
        <v>3360 جنيه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